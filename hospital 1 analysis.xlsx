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shi kamble\Desktop\power bi\"/>
    </mc:Choice>
  </mc:AlternateContent>
  <xr:revisionPtr revIDLastSave="0" documentId="8_{386151A5-EE62-4C5E-A5A9-D2550CC7BDDB}" xr6:coauthVersionLast="47" xr6:coauthVersionMax="47" xr10:uidLastSave="{00000000-0000-0000-0000-000000000000}"/>
  <bookViews>
    <workbookView xWindow="-108" yWindow="-108" windowWidth="23256" windowHeight="12456" activeTab="4" xr2:uid="{D714690F-E4E6-4986-AD7E-E35BECD6F3AD}"/>
  </bookViews>
  <sheets>
    <sheet name="Sheet2" sheetId="2" r:id="rId1"/>
    <sheet name="Sheet3" sheetId="3" r:id="rId2"/>
    <sheet name="Sheet5" sheetId="5" r:id="rId3"/>
    <sheet name="Sheet6" sheetId="6" r:id="rId4"/>
    <sheet name="Sheet8" sheetId="8" r:id="rId5"/>
    <sheet name="Sheet9" sheetId="9" r:id="rId6"/>
    <sheet name="Sheet1" sheetId="1" r:id="rId7"/>
    <sheet name="Sheet7" sheetId="7" r:id="rId8"/>
    <sheet name="Sheet4" sheetId="4" r:id="rId9"/>
  </sheets>
  <calcPr calcId="191029"/>
  <pivotCaches>
    <pivotCache cacheId="1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/>
  <c r="R2" i="1"/>
  <c r="Q2" i="1"/>
  <c r="P2" i="1"/>
  <c r="O2" i="1"/>
  <c r="N2" i="1"/>
  <c r="L2" i="1" a="1"/>
  <c r="L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<sst xmlns="http://schemas.openxmlformats.org/spreadsheetml/2006/main" count="424" uniqueCount="114">
  <si>
    <t>Patient_ID</t>
  </si>
  <si>
    <t>Patient_Name</t>
  </si>
  <si>
    <t>Age</t>
  </si>
  <si>
    <t>Gender</t>
  </si>
  <si>
    <t>Department</t>
  </si>
  <si>
    <t>Doctor</t>
  </si>
  <si>
    <t>Admission_Date</t>
  </si>
  <si>
    <t>Discharge_Date</t>
  </si>
  <si>
    <t>Treatment_Cost</t>
  </si>
  <si>
    <t>Insurance</t>
  </si>
  <si>
    <t>Outcome</t>
  </si>
  <si>
    <t>P001</t>
  </si>
  <si>
    <t>Priya Shah</t>
  </si>
  <si>
    <t>Male</t>
  </si>
  <si>
    <t>Orthopedic</t>
  </si>
  <si>
    <t>Dr. Mehta</t>
  </si>
  <si>
    <t>Yes</t>
  </si>
  <si>
    <t>Critical</t>
  </si>
  <si>
    <t>P002</t>
  </si>
  <si>
    <t>Sneha Iyer</t>
  </si>
  <si>
    <t>Female</t>
  </si>
  <si>
    <t>Cardiology</t>
  </si>
  <si>
    <t>Dr. Shah</t>
  </si>
  <si>
    <t>P003</t>
  </si>
  <si>
    <t>Varun Desai</t>
  </si>
  <si>
    <t>Dermatology</t>
  </si>
  <si>
    <t>Dr. Joshi</t>
  </si>
  <si>
    <t>No</t>
  </si>
  <si>
    <t>Recovered</t>
  </si>
  <si>
    <t>P004</t>
  </si>
  <si>
    <t>Aditya Kulkarni</t>
  </si>
  <si>
    <t>P005</t>
  </si>
  <si>
    <t>Rahul Mehta</t>
  </si>
  <si>
    <t>P006</t>
  </si>
  <si>
    <t>Ishita Jain</t>
  </si>
  <si>
    <t>Pediatrics</t>
  </si>
  <si>
    <t>Dr. Nair</t>
  </si>
  <si>
    <t>P007</t>
  </si>
  <si>
    <t>Amit Patel</t>
  </si>
  <si>
    <t>P008</t>
  </si>
  <si>
    <t>Rohit Verma</t>
  </si>
  <si>
    <t>Neurology</t>
  </si>
  <si>
    <t>Dr. Rao</t>
  </si>
  <si>
    <t>P009</t>
  </si>
  <si>
    <t>Arjun Rao</t>
  </si>
  <si>
    <t>P010</t>
  </si>
  <si>
    <t>P011</t>
  </si>
  <si>
    <t>Pooja Nair</t>
  </si>
  <si>
    <t>Stable</t>
  </si>
  <si>
    <t>P012</t>
  </si>
  <si>
    <t>Vikram Joshi</t>
  </si>
  <si>
    <t>P013</t>
  </si>
  <si>
    <t>Nisha More</t>
  </si>
  <si>
    <t>P014</t>
  </si>
  <si>
    <t>Dev Malhotra</t>
  </si>
  <si>
    <t>P015</t>
  </si>
  <si>
    <t>P016</t>
  </si>
  <si>
    <t>Ananya Das</t>
  </si>
  <si>
    <t>General Medicine</t>
  </si>
  <si>
    <t>Dr. Iyer</t>
  </si>
  <si>
    <t>P017</t>
  </si>
  <si>
    <t>P018</t>
  </si>
  <si>
    <t>P019</t>
  </si>
  <si>
    <t>P020</t>
  </si>
  <si>
    <t>P021</t>
  </si>
  <si>
    <t>P022</t>
  </si>
  <si>
    <t>Riya Sharma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</si>
  <si>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</si>
  <si>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</si>
  <si>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</si>
  <si>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</si>
  <si>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</si>
  <si>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</si>
  <si>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</si>
  <si>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</si>
  <si>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</si>
  <si>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</si>
  <si>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Neha Singh</t>
  </si>
  <si>
    <t>P033</t>
  </si>
  <si>
    <t>P034</t>
  </si>
  <si>
    <t>P035</t>
  </si>
  <si>
    <t>P036</t>
  </si>
  <si>
    <t>P037</t>
  </si>
  <si>
    <t>Meera Kapoor</t>
  </si>
  <si>
    <t>P038</t>
  </si>
  <si>
    <t>P039</t>
  </si>
  <si>
    <t>P040</t>
  </si>
  <si>
    <t>P041</t>
  </si>
  <si>
    <t>P042</t>
  </si>
  <si>
    <t>P043</t>
  </si>
  <si>
    <t>Karan Gupta</t>
  </si>
  <si>
    <t>P044</t>
  </si>
  <si>
    <t>P045</t>
  </si>
  <si>
    <t>P046</t>
  </si>
  <si>
    <t>P047</t>
  </si>
  <si>
    <t>P048</t>
  </si>
  <si>
    <t>P049</t>
  </si>
  <si>
    <t>P050</t>
  </si>
  <si>
    <t>Create a Pivot Table showing:</t>
  </si>
  <si>
    <t>Number of Patients handled</t>
  </si>
  <si>
    <t>Number of Patients</t>
  </si>
  <si>
    <t>Row Labels</t>
  </si>
  <si>
    <t>Grand Total</t>
  </si>
  <si>
    <t>Insurance Status</t>
  </si>
  <si>
    <t>Count of Patient_ID</t>
  </si>
  <si>
    <t>length of stay patient</t>
  </si>
  <si>
    <t>tot_patient</t>
  </si>
  <si>
    <t>avg_age</t>
  </si>
  <si>
    <t>mix_treatment</t>
  </si>
  <si>
    <t>min_tratment</t>
  </si>
  <si>
    <t>age_group</t>
  </si>
  <si>
    <t>avg_lenght</t>
  </si>
  <si>
    <t>DASHBOARD</t>
  </si>
  <si>
    <t>Sum of Treatment_Cost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</si>
</sst>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2" fillId="2" borderId="1" xfId="0" applyFont="1" applyFill="1" applyBorder="1"/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0" fontId="2" fillId="2" borderId="2" xfId="0" applyFont="1" applyFill="1" applyBorder="1"/>
    <xf numFmtId="0" fontId="0" fillId="3" borderId="0" xfId="0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 1 analysis.xlsx]Sheet6!PivotTable4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Sheet6!$A$5:$A$8</c:f>
              <c:strCache>
                <c:ptCount val="3"/>
                <c:pt idx="0">
                  <c:v>Critical</c:v>
                </c:pt>
                <c:pt idx="1">
                  <c:v>Recovered</c:v>
                </c:pt>
                <c:pt idx="2">
                  <c:v>Stable</c:v>
                </c:pt>
              </c:strCache>
            </c:strRef>
          </c:cat>
          <c:val>
            <c:numRef>
              <c:f>Sheet6!$B$5:$B$8</c:f>
              <c:numCache>
                <c:formatCode>General</c:formatCode>
                <c:ptCount val="3"/>
                <c:pt idx="0">
                  <c:v>11</c:v>
                </c:pt>
                <c:pt idx="1">
                  <c:v>33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63-4D98-9267-823615A44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6846944"/>
        <c:axId val="1621325328"/>
      </c:barChart>
      <c:catAx>
        <c:axId val="161684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325328"/>
        <c:crosses val="autoZero"/>
        <c:auto val="1"/>
        <c:lblAlgn val="ctr"/>
        <c:lblOffset val="100"/>
        <c:noMultiLvlLbl val="0"/>
      </c:catAx>
      <c:valAx>
        <c:axId val="162132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84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 1 analysis.xlsx]Sheet8!PivotTable5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Sheet8!$A$4:$A$10</c:f>
              <c:strCache>
                <c:ptCount val="6"/>
                <c:pt idx="0">
                  <c:v>Cardiology</c:v>
                </c:pt>
                <c:pt idx="1">
                  <c:v>Dermatology</c:v>
                </c:pt>
                <c:pt idx="2">
                  <c:v>General Medicine</c:v>
                </c:pt>
                <c:pt idx="3">
                  <c:v>Neurology</c:v>
                </c:pt>
                <c:pt idx="4">
                  <c:v>Orthopedic</c:v>
                </c:pt>
                <c:pt idx="5">
                  <c:v>Pediatrics</c:v>
                </c:pt>
              </c:strCache>
            </c:strRef>
          </c:cat>
          <c:val>
            <c:numRef>
              <c:f>Sheet8!$B$4:$B$10</c:f>
              <c:numCache>
                <c:formatCode>General</c:formatCode>
                <c:ptCount val="6"/>
                <c:pt idx="0">
                  <c:v>14</c:v>
                </c:pt>
                <c:pt idx="1">
                  <c:v>7</c:v>
                </c:pt>
                <c:pt idx="2">
                  <c:v>5</c:v>
                </c:pt>
                <c:pt idx="3">
                  <c:v>10</c:v>
                </c:pt>
                <c:pt idx="4">
                  <c:v>9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45-4452-B091-2F94FB77E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51393200"/>
        <c:axId val="1621375248"/>
      </c:barChart>
      <c:catAx>
        <c:axId val="1451393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375248"/>
        <c:crosses val="autoZero"/>
        <c:auto val="1"/>
        <c:lblAlgn val="ctr"/>
        <c:lblOffset val="100"/>
        <c:noMultiLvlLbl val="0"/>
      </c:catAx>
      <c:valAx>
        <c:axId val="162137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39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 1 analysis.xlsx]Sheet9!PivotTable6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Sheet9!$A$4:$A$10</c:f>
              <c:strCache>
                <c:ptCount val="6"/>
                <c:pt idx="0">
                  <c:v>Cardiology</c:v>
                </c:pt>
                <c:pt idx="1">
                  <c:v>Dermatology</c:v>
                </c:pt>
                <c:pt idx="2">
                  <c:v>General Medicine</c:v>
                </c:pt>
                <c:pt idx="3">
                  <c:v>Neurology</c:v>
                </c:pt>
                <c:pt idx="4">
                  <c:v>Orthopedic</c:v>
                </c:pt>
                <c:pt idx="5">
                  <c:v>Pediatrics</c:v>
                </c:pt>
              </c:strCache>
            </c:strRef>
          </c:cat>
          <c:val>
            <c:numRef>
              <c:f>Sheet9!$B$4:$B$10</c:f>
              <c:numCache>
                <c:formatCode>General</c:formatCode>
                <c:ptCount val="6"/>
                <c:pt idx="0">
                  <c:v>946050</c:v>
                </c:pt>
                <c:pt idx="1">
                  <c:v>432814</c:v>
                </c:pt>
                <c:pt idx="2">
                  <c:v>319442</c:v>
                </c:pt>
                <c:pt idx="3">
                  <c:v>630168</c:v>
                </c:pt>
                <c:pt idx="4">
                  <c:v>564533</c:v>
                </c:pt>
                <c:pt idx="5">
                  <c:v>315464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AB-49C7-802B-FB86A7547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16852048"/>
        <c:axId val="1621364688"/>
      </c:barChart>
      <c:catAx>
        <c:axId val="1616852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364688"/>
        <c:crosses val="autoZero"/>
        <c:auto val="1"/>
        <c:lblAlgn val="ctr"/>
        <c:lblOffset val="100"/>
        <c:noMultiLvlLbl val="0"/>
      </c:catAx>
      <c:valAx>
        <c:axId val="162136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852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51398304"/>
        <c:axId val="1621352688"/>
      </c:barChart>
      <c:catAx>
        <c:axId val="1451398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352688"/>
        <c:crosses val="autoZero"/>
        <c:auto val="1"/>
        <c:lblAlgn val="ctr"/>
        <c:lblOffset val="100"/>
        <c:noMultiLvlLbl val="0"/>
      </c:catAx>
      <c:valAx>
        <c:axId val="162135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398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198120</xdr:colOff>
      <xdr:row>0</xdr:row>
      <xdr:rowOff>0</xdr:rowOff>
    </xdr:from>
    <xdr:to>
      <xdr:col>8</xdr:col>
      <xdr:colOff>449580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A00C58-238C-AA41-5041-2117B088D0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121920</xdr:colOff>
      <xdr:row>0</xdr:row>
      <xdr:rowOff>22860</xdr:rowOff>
    </xdr:from>
    <xdr:to>
      <xdr:col>8</xdr:col>
      <xdr:colOff>327660</xdr:colOff>
      <xdr:row>17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D67E57-6EF9-FE30-5150-2C768F12D8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510540</xdr:colOff>
      <xdr:row>1</xdr:row>
      <xdr:rowOff>72390</xdr:rowOff>
    </xdr:from>
    <xdr:to>
      <xdr:col>10</xdr:col>
      <xdr:colOff>205740</xdr:colOff>
      <xdr:row>16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28D412-999A-55A7-7D48-D51C019F1D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289560</xdr:colOff>
      <xdr:row>2</xdr:row>
      <xdr:rowOff>15240</xdr:rowOff>
    </xdr:from>
    <xdr:to>
      <xdr:col>2</xdr:col>
      <xdr:colOff>327660</xdr:colOff>
      <xdr:row>7</xdr:row>
      <xdr:rowOff>76200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64F1C8B-67F8-5E7D-0761-75CB423A54FE}"/>
            </a:ext>
          </a:extLst>
        </xdr:cNvPr>
        <xdr:cNvSpPr/>
      </xdr:nvSpPr>
      <xdr:spPr>
        <a:xfrm>
          <a:off x="289560" y="464820"/>
          <a:ext cx="1257300" cy="9753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2</xdr:row>
      <xdr:rowOff>152400</xdr:rowOff>
    </xdr:from>
    <xdr:to>
      <xdr:col>2</xdr:col>
      <xdr:colOff>175260</xdr:colOff>
      <xdr:row>6</xdr:row>
      <xdr:rowOff>60960</xdr:rowOff>
    </xdr:to>
    <xdr:sp macro="" textlink="">
      <xdr:nvSpPr>
        <xdr:cNvPr id="7169" name="Text Box 1">
          <a:extLst>
            <a:ext uri="{FF2B5EF4-FFF2-40B4-BE49-F238E27FC236}">
              <a16:creationId xmlns:a16="http://schemas.microsoft.com/office/drawing/2014/main" id="{890EF525-C73F-BA80-BECF-62F452F2841B}"/>
            </a:ext>
          </a:extLst>
        </xdr:cNvPr>
        <xdr:cNvSpPr txBox="1">
          <a:spLocks noChangeArrowheads="1"/>
        </xdr:cNvSpPr>
      </xdr:nvSpPr>
      <xdr:spPr bwMode="auto">
        <a:xfrm>
          <a:off x="609600" y="601980"/>
          <a:ext cx="784860" cy="6400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ctr" rtl="0">
            <a:defRPr sz="1000"/>
          </a:pPr>
          <a:r>
            <a:rPr lang="en-IN" sz="11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TOTAL PATIENT</a:t>
          </a:r>
        </a:p>
        <a:p>
          <a:pPr algn="ctr" rtl="0">
            <a:defRPr sz="1000"/>
          </a:pPr>
          <a:r>
            <a:rPr lang="en-IN" sz="11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50</a:t>
          </a:r>
        </a:p>
      </xdr:txBody>
    </xdr:sp>
    <xdr:clientData/>
  </xdr:twoCellAnchor>
  <xdr:twoCellAnchor>
    <xdr:from>
      <xdr:col>6</xdr:col>
      <xdr:colOff>0</xdr:colOff>
      <xdr:row>2</xdr:row>
      <xdr:rowOff>45720</xdr:rowOff>
    </xdr:from>
    <xdr:to>
      <xdr:col>8</xdr:col>
      <xdr:colOff>274320</xdr:colOff>
      <xdr:row>7</xdr:row>
      <xdr:rowOff>45720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353AE83-2E58-711A-3FF5-F93AE5CCB3F0}"/>
            </a:ext>
          </a:extLst>
        </xdr:cNvPr>
        <xdr:cNvSpPr/>
      </xdr:nvSpPr>
      <xdr:spPr>
        <a:xfrm>
          <a:off x="3657600" y="495300"/>
          <a:ext cx="1493520" cy="914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patient avg age</a:t>
          </a:r>
        </a:p>
        <a:p>
          <a:pPr algn="l"/>
          <a:r>
            <a:rPr lang="en-IN" sz="1100"/>
            <a:t>43.78</a:t>
          </a:r>
        </a:p>
      </xdr:txBody>
    </xdr:sp>
    <xdr:clientData/>
  </xdr:twoCellAnchor>
  <xdr:twoCellAnchor>
    <xdr:from>
      <xdr:col>8</xdr:col>
      <xdr:colOff>563880</xdr:colOff>
      <xdr:row>2</xdr:row>
      <xdr:rowOff>30480</xdr:rowOff>
    </xdr:from>
    <xdr:to>
      <xdr:col>11</xdr:col>
      <xdr:colOff>441960</xdr:colOff>
      <xdr:row>7</xdr:row>
      <xdr:rowOff>7620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C48C12E-9E6C-6CD7-9AAA-36D53D6424A4}"/>
            </a:ext>
          </a:extLst>
        </xdr:cNvPr>
        <xdr:cNvSpPr/>
      </xdr:nvSpPr>
      <xdr:spPr>
        <a:xfrm>
          <a:off x="5440680" y="480060"/>
          <a:ext cx="1706880" cy="8915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avg</a:t>
          </a:r>
          <a:r>
            <a:rPr lang="en-IN" sz="1100" baseline="0"/>
            <a:t> length of stay </a:t>
          </a:r>
        </a:p>
        <a:p>
          <a:pPr algn="l"/>
          <a:r>
            <a:rPr lang="en-IN" sz="1100" baseline="0"/>
            <a:t>7.02</a:t>
          </a:r>
          <a:endParaRPr lang="en-IN" sz="1100"/>
        </a:p>
      </xdr:txBody>
    </xdr:sp>
    <xdr:clientData/>
  </xdr:twoCellAnchor>
  <xdr:twoCellAnchor>
    <xdr:from>
      <xdr:col>3</xdr:col>
      <xdr:colOff>91440</xdr:colOff>
      <xdr:row>2</xdr:row>
      <xdr:rowOff>83820</xdr:rowOff>
    </xdr:from>
    <xdr:to>
      <xdr:col>5</xdr:col>
      <xdr:colOff>281940</xdr:colOff>
      <xdr:row>7</xdr:row>
      <xdr:rowOff>114300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EB61389-0AC2-DCBC-B3EC-4B0B4B91B669}"/>
            </a:ext>
          </a:extLst>
        </xdr:cNvPr>
        <xdr:cNvSpPr/>
      </xdr:nvSpPr>
      <xdr:spPr>
        <a:xfrm>
          <a:off x="1920240" y="533400"/>
          <a:ext cx="1409700" cy="9448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total treatment cost </a:t>
          </a:r>
        </a:p>
        <a:p>
          <a:pPr algn="l"/>
          <a:r>
            <a:rPr lang="en-IN" sz="1100"/>
            <a:t>50</a:t>
          </a:r>
        </a:p>
      </xdr:txBody>
    </xdr:sp>
    <xdr:clientData/>
  </xdr:twoCellAnchor>
  <xdr:twoCellAnchor>
    <xdr:from>
      <xdr:col>3</xdr:col>
      <xdr:colOff>495300</xdr:colOff>
      <xdr:row>8</xdr:row>
      <xdr:rowOff>95250</xdr:rowOff>
    </xdr:from>
    <xdr:to>
      <xdr:col>10</xdr:col>
      <xdr:colOff>312420</xdr:colOff>
      <xdr:row>23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8020933-3EAE-60DC-612F-911BC82D0A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shi kamble" refreshedDate="46275.468479976851" createdVersion="8" refreshedVersion="8" minRefreshableVersion="3" recordCount="50" xr:uid="{5F817B80-60F4-4284-AD47-751C5DBE1C86}">
  <cacheSource type="worksheet">
    <worksheetSource ref="A1:K51" sheet="Sheet1"/>
  </cacheSource>
  <cacheFields count="11">
    <cacheField name="Patient_ID" numFmtId="0">
      <sharedItems count="50">
        <s v="P001"/>
        <s v="P002"/>
        <s v="P003"/>
        <s v="P004"/>
        <s v="P005"/>
        <s v="P006"/>
        <s v="P007"/>
        <s v="P008"/>
        <s v="P009"/>
        <s v="P010"/>
        <s v="P011"/>
        <s v="P012"/>
        <s v="P013"/>
        <s v="P014"/>
        <s v="P015"/>
        <s v="P016"/>
        <s v="P017"/>
        <s v="P018"/>
        <s v="P019"/>
        <s v="P020"/>
        <s v="P021"/>
        <s v="P022"/>
        <s v="P023"/>
        <s v="P024"/>
        <s v="P025"/>
        <s v="P026"/>
        <s v="P027"/>
        <s v="P028"/>
        <s v="P029"/>
        <s v="P030"/>
        <s v="P031"/>
        <s v="P032"/>
        <s v="P033"/>
        <s v="P034"/>
        <s v="P035"/>
        <s v="P036"/>
        <s v="P037"/>
        <s v="P038"/>
        <s v="P039"/>
        <s v="P040"/>
        <s v="P041"/>
        <s v="P042"/>
        <s v="P043"/>
        <s v="P044"/>
        <s v="P045"/>
        <s v="P046"/>
        <s v="P047"/>
        <s v="P048"/>
        <s v="P049"/>
        <s v="P050"/>
      </sharedItems>
    </cacheField>
    <cacheField name="Patient_Name" numFmtId="0">
      <sharedItems count="18">
        <s v="Priya Shah"/>
        <s v="Sneha Iyer"/>
        <s v="Varun Desai"/>
        <s v="Aditya Kulkarni"/>
        <s v="Rahul Mehta"/>
        <s v="Ishita Jain"/>
        <s v="Amit Patel"/>
        <s v="Rohit Verma"/>
        <s v="Arjun Rao"/>
        <s v="Pooja Nair"/>
        <s v="Vikram Joshi"/>
        <s v="Nisha More"/>
        <s v="Dev Malhotra"/>
        <s v="Ananya Das"/>
        <s v="Riya Sharma"/>
        <s v="Neha Singh"/>
        <s v="Meera Kapoor"/>
        <s v="Karan Gupta"/>
      </sharedItems>
    </cacheField>
    <cacheField name="Age" numFmtId="0">
      <sharedItems containsSemiMixedTypes="0" containsString="0" containsNumber="1" containsInteger="1" minValue="6" maxValue="77"/>
    </cacheField>
    <cacheField name="Gender" numFmtId="0">
      <sharedItems count="2">
        <s v="Male"/>
        <s v="Female"/>
      </sharedItems>
    </cacheField>
    <cacheField name="Department" numFmtId="0">
      <sharedItems count="6">
        <s v="Orthopedic"/>
        <s v="Cardiology"/>
        <s v="Dermatology"/>
        <s v="Pediatrics"/>
        <s v="Neurology"/>
        <s v="General Medicine"/>
      </sharedItems>
    </cacheField>
    <cacheField name="Doctor" numFmtId="0">
      <sharedItems count="6">
        <s v="Dr. Mehta"/>
        <s v="Dr. Shah"/>
        <s v="Dr. Joshi"/>
        <s v="Dr. Nair"/>
        <s v="Dr. Rao"/>
        <s v="Dr. Iyer"/>
      </sharedItems>
    </cacheField>
    <cacheField name="Admission_Date" numFmtId="14">
      <sharedItems containsSemiMixedTypes="0" containsNonDate="0" containsDate="1" containsString="0" minDate="2026-01-12T00:00:00" maxDate="2026-07-01T00:00:00"/>
    </cacheField>
    <cacheField name="Discharge_Date" numFmtId="14">
      <sharedItems containsSemiMixedTypes="0" containsNonDate="0" containsDate="1" containsString="0" minDate="2026-01-14T00:00:00" maxDate="2026-07-09T00:00:00"/>
    </cacheField>
    <cacheField name="Treatment_Cost" numFmtId="0">
      <sharedItems containsSemiMixedTypes="0" containsString="0" containsNumber="1" containsInteger="1" minValue="18425" maxValue="117693"/>
    </cacheField>
    <cacheField name="Insurance" numFmtId="0">
      <sharedItems count="2">
        <s v="Yes"/>
        <s v="No"/>
      </sharedItems>
    </cacheField>
    <cacheField name="Outcome" numFmtId="0">
      <sharedItems count="3">
        <s v="Critical"/>
        <s v="Recovered"/>
        <s v="Stab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n v="8"/>
    <x v="0"/>
    <x v="0"/>
    <x v="0"/>
    <d v="2026-06-13T00:00:00"/>
    <d v="2026-06-16T00:00:00"/>
    <n v="47256"/>
    <x v="0"/>
    <x v="0"/>
  </r>
  <r>
    <x v="1"/>
    <x v="1"/>
    <n v="59"/>
    <x v="1"/>
    <x v="1"/>
    <x v="1"/>
    <d v="2026-01-23T00:00:00"/>
    <d v="2026-02-03T00:00:00"/>
    <n v="30280"/>
    <x v="0"/>
    <x v="0"/>
  </r>
  <r>
    <x v="2"/>
    <x v="2"/>
    <n v="76"/>
    <x v="1"/>
    <x v="2"/>
    <x v="2"/>
    <d v="2026-06-04T00:00:00"/>
    <d v="2026-06-06T00:00:00"/>
    <n v="103181"/>
    <x v="1"/>
    <x v="1"/>
  </r>
  <r>
    <x v="3"/>
    <x v="3"/>
    <n v="40"/>
    <x v="1"/>
    <x v="0"/>
    <x v="0"/>
    <d v="2026-04-25T00:00:00"/>
    <d v="2026-05-06T00:00:00"/>
    <n v="109506"/>
    <x v="1"/>
    <x v="1"/>
  </r>
  <r>
    <x v="4"/>
    <x v="4"/>
    <n v="48"/>
    <x v="1"/>
    <x v="1"/>
    <x v="1"/>
    <d v="2026-02-09T00:00:00"/>
    <d v="2026-02-14T00:00:00"/>
    <n v="67797"/>
    <x v="1"/>
    <x v="1"/>
  </r>
  <r>
    <x v="5"/>
    <x v="5"/>
    <n v="10"/>
    <x v="0"/>
    <x v="3"/>
    <x v="3"/>
    <d v="2026-06-04T00:00:00"/>
    <d v="2026-06-10T00:00:00"/>
    <n v="34361"/>
    <x v="0"/>
    <x v="0"/>
  </r>
  <r>
    <x v="6"/>
    <x v="6"/>
    <n v="51"/>
    <x v="1"/>
    <x v="2"/>
    <x v="2"/>
    <d v="2026-03-17T00:00:00"/>
    <d v="2026-03-29T00:00:00"/>
    <n v="27116"/>
    <x v="0"/>
    <x v="1"/>
  </r>
  <r>
    <x v="7"/>
    <x v="7"/>
    <n v="17"/>
    <x v="0"/>
    <x v="4"/>
    <x v="4"/>
    <d v="2026-01-21T00:00:00"/>
    <d v="2026-01-26T00:00:00"/>
    <n v="77429"/>
    <x v="0"/>
    <x v="1"/>
  </r>
  <r>
    <x v="8"/>
    <x v="8"/>
    <n v="39"/>
    <x v="1"/>
    <x v="3"/>
    <x v="3"/>
    <d v="2026-04-01T00:00:00"/>
    <d v="2026-04-06T00:00:00"/>
    <n v="101227"/>
    <x v="0"/>
    <x v="1"/>
  </r>
  <r>
    <x v="9"/>
    <x v="6"/>
    <n v="39"/>
    <x v="1"/>
    <x v="2"/>
    <x v="2"/>
    <d v="2026-04-29T00:00:00"/>
    <d v="2026-05-07T00:00:00"/>
    <n v="60504"/>
    <x v="0"/>
    <x v="1"/>
  </r>
  <r>
    <x v="10"/>
    <x v="9"/>
    <n v="39"/>
    <x v="1"/>
    <x v="0"/>
    <x v="0"/>
    <d v="2026-03-22T00:00:00"/>
    <d v="2026-03-30T00:00:00"/>
    <n v="92341"/>
    <x v="0"/>
    <x v="2"/>
  </r>
  <r>
    <x v="11"/>
    <x v="10"/>
    <n v="63"/>
    <x v="1"/>
    <x v="4"/>
    <x v="4"/>
    <d v="2026-04-12T00:00:00"/>
    <d v="2026-04-24T00:00:00"/>
    <n v="36301"/>
    <x v="1"/>
    <x v="0"/>
  </r>
  <r>
    <x v="12"/>
    <x v="11"/>
    <n v="56"/>
    <x v="0"/>
    <x v="0"/>
    <x v="0"/>
    <d v="2026-04-20T00:00:00"/>
    <d v="2026-05-01T00:00:00"/>
    <n v="36131"/>
    <x v="1"/>
    <x v="1"/>
  </r>
  <r>
    <x v="13"/>
    <x v="12"/>
    <n v="24"/>
    <x v="1"/>
    <x v="2"/>
    <x v="2"/>
    <d v="2026-01-13T00:00:00"/>
    <d v="2026-01-16T00:00:00"/>
    <n v="73333"/>
    <x v="0"/>
    <x v="2"/>
  </r>
  <r>
    <x v="14"/>
    <x v="4"/>
    <n v="64"/>
    <x v="0"/>
    <x v="3"/>
    <x v="3"/>
    <d v="2026-04-08T00:00:00"/>
    <d v="2026-04-19T00:00:00"/>
    <n v="19504"/>
    <x v="1"/>
    <x v="1"/>
  </r>
  <r>
    <x v="15"/>
    <x v="13"/>
    <n v="60"/>
    <x v="1"/>
    <x v="5"/>
    <x v="5"/>
    <d v="2026-01-29T00:00:00"/>
    <d v="2026-02-04T00:00:00"/>
    <n v="18425"/>
    <x v="0"/>
    <x v="0"/>
  </r>
  <r>
    <x v="16"/>
    <x v="8"/>
    <n v="43"/>
    <x v="1"/>
    <x v="0"/>
    <x v="0"/>
    <d v="2026-01-28T00:00:00"/>
    <d v="2026-02-09T00:00:00"/>
    <n v="67009"/>
    <x v="0"/>
    <x v="0"/>
  </r>
  <r>
    <x v="17"/>
    <x v="10"/>
    <n v="7"/>
    <x v="1"/>
    <x v="4"/>
    <x v="4"/>
    <d v="2026-03-24T00:00:00"/>
    <d v="2026-04-02T00:00:00"/>
    <n v="58306"/>
    <x v="0"/>
    <x v="1"/>
  </r>
  <r>
    <x v="18"/>
    <x v="2"/>
    <n v="15"/>
    <x v="0"/>
    <x v="1"/>
    <x v="1"/>
    <d v="2026-05-26T00:00:00"/>
    <d v="2026-05-29T00:00:00"/>
    <n v="117693"/>
    <x v="0"/>
    <x v="1"/>
  </r>
  <r>
    <x v="19"/>
    <x v="12"/>
    <n v="75"/>
    <x v="1"/>
    <x v="4"/>
    <x v="4"/>
    <d v="2026-06-18T00:00:00"/>
    <d v="2026-06-27T00:00:00"/>
    <n v="87163"/>
    <x v="1"/>
    <x v="1"/>
  </r>
  <r>
    <x v="20"/>
    <x v="7"/>
    <n v="30"/>
    <x v="0"/>
    <x v="5"/>
    <x v="5"/>
    <d v="2026-05-19T00:00:00"/>
    <d v="2026-06-02T00:00:00"/>
    <n v="106039"/>
    <x v="1"/>
    <x v="0"/>
  </r>
  <r>
    <x v="21"/>
    <x v="14"/>
    <n v="36"/>
    <x v="1"/>
    <x v="1"/>
    <x v="1"/>
    <d v="2026-04-26T00:00:00"/>
    <d v="2026-04-29T00:00:00"/>
    <n v="62313"/>
    <x v="0"/>
    <x v="0"/>
  </r>
  <r>
    <x v="22"/>
    <x v="6"/>
    <n v="14"/>
    <x v="1"/>
    <x v="0"/>
    <x v="0"/>
    <d v="2026-02-26T00:00:00"/>
    <d v="2026-02-28T00:00:00"/>
    <n v="26834"/>
    <x v="1"/>
    <x v="1"/>
  </r>
  <r>
    <x v="23"/>
    <x v="0"/>
    <n v="40"/>
    <x v="0"/>
    <x v="0"/>
    <x v="0"/>
    <d v="2026-05-12T00:00:00"/>
    <d v="2026-05-17T00:00:00"/>
    <n v="88678"/>
    <x v="1"/>
    <x v="1"/>
  </r>
  <r>
    <x v="24"/>
    <x v="3"/>
    <n v="57"/>
    <x v="1"/>
    <x v="1"/>
    <x v="1"/>
    <d v="2026-05-02T00:00:00"/>
    <d v="2026-05-16T00:00:00"/>
    <n v="30704"/>
    <x v="1"/>
    <x v="2"/>
  </r>
  <r>
    <x v="25"/>
    <x v="9"/>
    <n v="11"/>
    <x v="1"/>
    <x v="1"/>
    <x v="1"/>
    <d v="2026-04-16T00:00:00"/>
    <d v="2026-04-25T00:00:00"/>
    <n v="70772"/>
    <x v="0"/>
    <x v="1"/>
  </r>
  <r>
    <x v="26"/>
    <x v="8"/>
    <n v="73"/>
    <x v="0"/>
    <x v="0"/>
    <x v="0"/>
    <d v="2026-02-19T00:00:00"/>
    <d v="2026-02-24T00:00:00"/>
    <n v="73296"/>
    <x v="1"/>
    <x v="2"/>
  </r>
  <r>
    <x v="27"/>
    <x v="2"/>
    <n v="61"/>
    <x v="1"/>
    <x v="1"/>
    <x v="1"/>
    <d v="2026-03-05T00:00:00"/>
    <d v="2026-03-08T00:00:00"/>
    <n v="103477"/>
    <x v="0"/>
    <x v="1"/>
  </r>
  <r>
    <x v="28"/>
    <x v="5"/>
    <n v="57"/>
    <x v="0"/>
    <x v="5"/>
    <x v="5"/>
    <d v="2026-03-02T00:00:00"/>
    <d v="2026-03-06T00:00:00"/>
    <n v="46016"/>
    <x v="0"/>
    <x v="1"/>
  </r>
  <r>
    <x v="29"/>
    <x v="3"/>
    <n v="54"/>
    <x v="0"/>
    <x v="5"/>
    <x v="5"/>
    <d v="2026-04-08T00:00:00"/>
    <d v="2026-04-10T00:00:00"/>
    <n v="55388"/>
    <x v="1"/>
    <x v="1"/>
  </r>
  <r>
    <x v="30"/>
    <x v="2"/>
    <n v="32"/>
    <x v="1"/>
    <x v="3"/>
    <x v="3"/>
    <d v="2026-02-18T00:00:00"/>
    <d v="2026-02-24T00:00:00"/>
    <n v="114434"/>
    <x v="0"/>
    <x v="1"/>
  </r>
  <r>
    <x v="31"/>
    <x v="15"/>
    <n v="66"/>
    <x v="1"/>
    <x v="1"/>
    <x v="1"/>
    <d v="2026-01-15T00:00:00"/>
    <d v="2026-01-17T00:00:00"/>
    <n v="84562"/>
    <x v="0"/>
    <x v="1"/>
  </r>
  <r>
    <x v="32"/>
    <x v="10"/>
    <n v="35"/>
    <x v="0"/>
    <x v="1"/>
    <x v="1"/>
    <d v="2026-06-02T00:00:00"/>
    <d v="2026-06-05T00:00:00"/>
    <n v="92668"/>
    <x v="0"/>
    <x v="0"/>
  </r>
  <r>
    <x v="33"/>
    <x v="9"/>
    <n v="77"/>
    <x v="0"/>
    <x v="4"/>
    <x v="4"/>
    <d v="2026-01-21T00:00:00"/>
    <d v="2026-01-29T00:00:00"/>
    <n v="44772"/>
    <x v="0"/>
    <x v="1"/>
  </r>
  <r>
    <x v="34"/>
    <x v="15"/>
    <n v="43"/>
    <x v="0"/>
    <x v="4"/>
    <x v="4"/>
    <d v="2026-04-12T00:00:00"/>
    <d v="2026-04-16T00:00:00"/>
    <n v="116548"/>
    <x v="0"/>
    <x v="2"/>
  </r>
  <r>
    <x v="35"/>
    <x v="11"/>
    <n v="17"/>
    <x v="1"/>
    <x v="3"/>
    <x v="3"/>
    <d v="2026-06-09T00:00:00"/>
    <d v="2026-06-20T00:00:00"/>
    <n v="45938"/>
    <x v="1"/>
    <x v="1"/>
  </r>
  <r>
    <x v="36"/>
    <x v="16"/>
    <n v="36"/>
    <x v="0"/>
    <x v="4"/>
    <x v="4"/>
    <d v="2026-03-31T00:00:00"/>
    <d v="2026-04-03T00:00:00"/>
    <n v="38676"/>
    <x v="1"/>
    <x v="0"/>
  </r>
  <r>
    <x v="37"/>
    <x v="0"/>
    <n v="6"/>
    <x v="0"/>
    <x v="2"/>
    <x v="2"/>
    <d v="2026-06-17T00:00:00"/>
    <d v="2026-06-27T00:00:00"/>
    <n v="31577"/>
    <x v="1"/>
    <x v="1"/>
  </r>
  <r>
    <x v="38"/>
    <x v="12"/>
    <n v="75"/>
    <x v="1"/>
    <x v="4"/>
    <x v="4"/>
    <d v="2026-01-28T00:00:00"/>
    <d v="2026-02-10T00:00:00"/>
    <n v="54930"/>
    <x v="0"/>
    <x v="1"/>
  </r>
  <r>
    <x v="39"/>
    <x v="15"/>
    <n v="38"/>
    <x v="0"/>
    <x v="4"/>
    <x v="4"/>
    <d v="2026-02-22T00:00:00"/>
    <d v="2026-03-06T00:00:00"/>
    <n v="24658"/>
    <x v="1"/>
    <x v="1"/>
  </r>
  <r>
    <x v="40"/>
    <x v="8"/>
    <n v="47"/>
    <x v="1"/>
    <x v="2"/>
    <x v="2"/>
    <d v="2026-01-12T00:00:00"/>
    <d v="2026-01-14T00:00:00"/>
    <n v="52335"/>
    <x v="1"/>
    <x v="0"/>
  </r>
  <r>
    <x v="41"/>
    <x v="0"/>
    <n v="76"/>
    <x v="1"/>
    <x v="1"/>
    <x v="1"/>
    <d v="2026-06-30T00:00:00"/>
    <d v="2026-07-08T00:00:00"/>
    <n v="27862"/>
    <x v="0"/>
    <x v="1"/>
  </r>
  <r>
    <x v="42"/>
    <x v="17"/>
    <n v="23"/>
    <x v="0"/>
    <x v="0"/>
    <x v="0"/>
    <d v="2026-05-30T00:00:00"/>
    <d v="2026-06-09T00:00:00"/>
    <n v="23482"/>
    <x v="1"/>
    <x v="1"/>
  </r>
  <r>
    <x v="43"/>
    <x v="3"/>
    <n v="36"/>
    <x v="1"/>
    <x v="4"/>
    <x v="4"/>
    <d v="2026-04-02T00:00:00"/>
    <d v="2026-04-07T00:00:00"/>
    <n v="91385"/>
    <x v="0"/>
    <x v="1"/>
  </r>
  <r>
    <x v="44"/>
    <x v="9"/>
    <n v="27"/>
    <x v="0"/>
    <x v="1"/>
    <x v="1"/>
    <d v="2026-02-11T00:00:00"/>
    <d v="2026-02-25T00:00:00"/>
    <n v="41509"/>
    <x v="1"/>
    <x v="1"/>
  </r>
  <r>
    <x v="45"/>
    <x v="10"/>
    <n v="18"/>
    <x v="0"/>
    <x v="1"/>
    <x v="1"/>
    <d v="2026-03-10T00:00:00"/>
    <d v="2026-03-14T00:00:00"/>
    <n v="79694"/>
    <x v="0"/>
    <x v="2"/>
  </r>
  <r>
    <x v="46"/>
    <x v="1"/>
    <n v="34"/>
    <x v="1"/>
    <x v="1"/>
    <x v="1"/>
    <d v="2026-03-31T00:00:00"/>
    <d v="2026-04-06T00:00:00"/>
    <n v="104511"/>
    <x v="1"/>
    <x v="1"/>
  </r>
  <r>
    <x v="47"/>
    <x v="5"/>
    <n v="40"/>
    <x v="0"/>
    <x v="2"/>
    <x v="2"/>
    <d v="2026-03-13T00:00:00"/>
    <d v="2026-03-16T00:00:00"/>
    <n v="84768"/>
    <x v="1"/>
    <x v="1"/>
  </r>
  <r>
    <x v="48"/>
    <x v="12"/>
    <n v="27"/>
    <x v="0"/>
    <x v="1"/>
    <x v="1"/>
    <d v="2026-01-30T00:00:00"/>
    <d v="2026-02-05T00:00:00"/>
    <n v="32208"/>
    <x v="1"/>
    <x v="1"/>
  </r>
  <r>
    <x v="49"/>
    <x v="1"/>
    <n v="70"/>
    <x v="1"/>
    <x v="5"/>
    <x v="5"/>
    <d v="2026-03-22T00:00:00"/>
    <d v="2026-03-30T00:00:00"/>
    <n v="93574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066129-C197-4B4F-9B89-57D60D4AF04B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1">
    <pivotField dataField="1" showAll="0"/>
    <pivotField showAll="0"/>
    <pivotField showAll="0"/>
    <pivotField showAll="0"/>
    <pivotField showAll="0"/>
    <pivotField axis="axisRow" showAll="0">
      <items count="7">
        <item x="5"/>
        <item x="2"/>
        <item x="0"/>
        <item x="3"/>
        <item x="4"/>
        <item x="1"/>
        <item t="default"/>
      </items>
    </pivotField>
    <pivotField numFmtId="14" showAll="0"/>
    <pivotField numFmtId="14"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Pati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F15C83-F7FD-4CC7-8EB0-7CB9BC172839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1">
    <pivotField dataField="1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numFmtId="14" showAll="0"/>
    <pivotField numFmtId="14"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Pati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1BBB3B-284E-4818-AEB8-77D0A5B8DEA4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7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axis="axisRow" showAll="0">
      <items count="3">
        <item x="1"/>
        <item x="0"/>
        <item t="default"/>
      </items>
    </pivotField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unt of Pati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5B4D87-8D60-4BB9-9C5F-948AF084CE80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4:B8" firstHeaderRow="1" firstDataRow="1" firstDataCol="1"/>
  <pivotFields count="11">
    <pivotField dataField="1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>
      <items count="19">
        <item x="3"/>
        <item x="6"/>
        <item x="13"/>
        <item x="8"/>
        <item x="12"/>
        <item x="5"/>
        <item x="17"/>
        <item x="16"/>
        <item x="15"/>
        <item x="11"/>
        <item x="9"/>
        <item x="0"/>
        <item x="4"/>
        <item x="14"/>
        <item x="7"/>
        <item x="1"/>
        <item x="2"/>
        <item x="10"/>
        <item t="default"/>
      </items>
    </pivotField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atient_ID" fld="0" subtotal="count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7DF045-87B7-4E0B-B6F4-ADCA7010AD91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0" firstHeaderRow="1" firstDataRow="1" firstDataCol="1"/>
  <pivotFields count="11">
    <pivotField dataField="1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showAll="0"/>
    <pivotField axis="axisRow" showAll="0">
      <items count="7">
        <item x="1"/>
        <item x="2"/>
        <item x="5"/>
        <item x="4"/>
        <item x="0"/>
        <item x="3"/>
        <item t="default"/>
      </items>
    </pivotField>
    <pivotField showAll="0"/>
    <pivotField numFmtId="14" showAll="0"/>
    <pivotField numFmtId="14"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Patient_ID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C1A957-733C-47E7-9444-96E93AD8BBE1}" name="PivotTable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0" firstHeaderRow="1" firstDataRow="1" firstDataCol="1"/>
  <pivotFields count="11">
    <pivotField showAll="0"/>
    <pivotField showAll="0"/>
    <pivotField showAll="0"/>
    <pivotField showAll="0"/>
    <pivotField axis="axisRow" showAll="0">
      <items count="7">
        <item x="1"/>
        <item x="2"/>
        <item x="5"/>
        <item x="4"/>
        <item x="0"/>
        <item x="3"/>
        <item t="default"/>
      </items>
    </pivotField>
    <pivotField showAll="0"/>
    <pivotField numFmtId="14" showAll="0"/>
    <pivotField numFmtId="14" showAll="0"/>
    <pivotField dataField="1"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reatment_Cost" fld="8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B3C73-579F-498F-A82D-A96A35BCE949}">
  <dimension ref="A1:B10"/>
  <sheetViews>
    <sheetView workbookViewId="0">
      <selection activeCell="D22" sqref="D22"/>
    </sheetView>
  </sheetViews>
  <sheetFormatPr defaultRowHeight="14.4" x14ac:dyDescent="0.3"/>
  <cols>
    <col min="1" max="1" width="12.5546875" bestFit="1" customWidth="1"/>
    <col min="2" max="2" width="17.77734375" bestFit="1" customWidth="1"/>
    <col min="3" max="6" width="15.5546875" bestFit="1" customWidth="1"/>
    <col min="7" max="7" width="10.77734375" bestFit="1" customWidth="1"/>
  </cols>
  <sheetData>
    <row r="1" spans="1:2" x14ac:dyDescent="0.3">
      <c r="A1" t="s">
        <v>98</v>
      </c>
    </row>
    <row r="2" spans="1:2" x14ac:dyDescent="0.3">
      <c r="A2" t="s">
        <v>5</v>
      </c>
      <c r="B2" t="s">
        <v>99</v>
      </c>
    </row>
    <row r="3" spans="1:2" x14ac:dyDescent="0.3">
      <c r="A3" s="6" t="s">
        <v>101</v>
      </c>
      <c r="B3" t="s">
        <v>104</v>
      </c>
    </row>
    <row r="4" spans="1:2" x14ac:dyDescent="0.3">
      <c r="A4" s="7" t="s">
        <v>59</v>
      </c>
      <c r="B4" s="8">
        <v>5</v>
      </c>
    </row>
    <row r="5" spans="1:2" x14ac:dyDescent="0.3">
      <c r="A5" s="7" t="s">
        <v>26</v>
      </c>
      <c r="B5" s="8">
        <v>7</v>
      </c>
    </row>
    <row r="6" spans="1:2" x14ac:dyDescent="0.3">
      <c r="A6" s="7" t="s">
        <v>15</v>
      </c>
      <c r="B6" s="8">
        <v>9</v>
      </c>
    </row>
    <row r="7" spans="1:2" x14ac:dyDescent="0.3">
      <c r="A7" s="7" t="s">
        <v>36</v>
      </c>
      <c r="B7" s="8">
        <v>5</v>
      </c>
    </row>
    <row r="8" spans="1:2" x14ac:dyDescent="0.3">
      <c r="A8" s="7" t="s">
        <v>42</v>
      </c>
      <c r="B8" s="8">
        <v>10</v>
      </c>
    </row>
    <row r="9" spans="1:2" x14ac:dyDescent="0.3">
      <c r="A9" s="7" t="s">
        <v>22</v>
      </c>
      <c r="B9" s="8">
        <v>14</v>
      </c>
    </row>
    <row r="10" spans="1:2" x14ac:dyDescent="0.3">
      <c r="A10" s="7" t="s">
        <v>102</v>
      </c>
      <c r="B10" s="8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F747B-8684-414D-833F-3959063AB927}">
  <dimension ref="A1:B6"/>
  <sheetViews>
    <sheetView workbookViewId="0">
      <selection activeCell="G17" sqref="G17"/>
    </sheetView>
  </sheetViews>
  <sheetFormatPr defaultRowHeight="14.4" x14ac:dyDescent="0.3"/>
  <cols>
    <col min="1" max="1" width="12.5546875" bestFit="1" customWidth="1"/>
    <col min="2" max="2" width="17.77734375" bestFit="1" customWidth="1"/>
    <col min="3" max="51" width="5.109375" bestFit="1" customWidth="1"/>
    <col min="52" max="52" width="10.77734375" bestFit="1" customWidth="1"/>
  </cols>
  <sheetData>
    <row r="1" spans="1:2" x14ac:dyDescent="0.3">
      <c r="A1" t="s">
        <v>98</v>
      </c>
    </row>
    <row r="2" spans="1:2" x14ac:dyDescent="0.3">
      <c r="A2" t="s">
        <v>3</v>
      </c>
      <c r="B2" t="s">
        <v>100</v>
      </c>
    </row>
    <row r="3" spans="1:2" x14ac:dyDescent="0.3">
      <c r="A3" s="6" t="s">
        <v>101</v>
      </c>
      <c r="B3" t="s">
        <v>104</v>
      </c>
    </row>
    <row r="4" spans="1:2" x14ac:dyDescent="0.3">
      <c r="A4" s="7" t="s">
        <v>20</v>
      </c>
      <c r="B4" s="8">
        <v>28</v>
      </c>
    </row>
    <row r="5" spans="1:2" x14ac:dyDescent="0.3">
      <c r="A5" s="7" t="s">
        <v>13</v>
      </c>
      <c r="B5" s="8">
        <v>22</v>
      </c>
    </row>
    <row r="6" spans="1:2" x14ac:dyDescent="0.3">
      <c r="A6" s="7" t="s">
        <v>102</v>
      </c>
      <c r="B6" s="8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F168-7FD3-468C-BACA-60FE728BA2CD}">
  <dimension ref="A1:B7"/>
  <sheetViews>
    <sheetView workbookViewId="0">
      <selection activeCell="A4" sqref="A4"/>
    </sheetView>
  </sheetViews>
  <sheetFormatPr defaultRowHeight="14.4" x14ac:dyDescent="0.3"/>
  <cols>
    <col min="1" max="1" width="12.5546875" bestFit="1" customWidth="1"/>
    <col min="2" max="2" width="17.77734375" bestFit="1" customWidth="1"/>
  </cols>
  <sheetData>
    <row r="1" spans="1:2" x14ac:dyDescent="0.3">
      <c r="A1" t="s">
        <v>98</v>
      </c>
    </row>
    <row r="2" spans="1:2" x14ac:dyDescent="0.3">
      <c r="A2" t="s">
        <v>103</v>
      </c>
    </row>
    <row r="3" spans="1:2" x14ac:dyDescent="0.3">
      <c r="A3" t="s">
        <v>100</v>
      </c>
    </row>
    <row r="4" spans="1:2" x14ac:dyDescent="0.3">
      <c r="A4" s="6" t="s">
        <v>101</v>
      </c>
      <c r="B4" t="s">
        <v>104</v>
      </c>
    </row>
    <row r="5" spans="1:2" x14ac:dyDescent="0.3">
      <c r="A5" s="7" t="s">
        <v>27</v>
      </c>
      <c r="B5" s="8">
        <v>24</v>
      </c>
    </row>
    <row r="6" spans="1:2" x14ac:dyDescent="0.3">
      <c r="A6" s="7" t="s">
        <v>16</v>
      </c>
      <c r="B6" s="8">
        <v>26</v>
      </c>
    </row>
    <row r="7" spans="1:2" x14ac:dyDescent="0.3">
      <c r="A7" s="7" t="s">
        <v>102</v>
      </c>
      <c r="B7" s="8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75FE0-D4EA-4CFF-BA64-BC84DE292F68}">
  <dimension ref="A1:B8"/>
  <sheetViews>
    <sheetView workbookViewId="0">
      <selection activeCell="K13" sqref="K13"/>
    </sheetView>
  </sheetViews>
  <sheetFormatPr defaultRowHeight="14.4" x14ac:dyDescent="0.3"/>
  <cols>
    <col min="1" max="1" width="12.5546875" bestFit="1" customWidth="1"/>
    <col min="2" max="2" width="17.77734375" bestFit="1" customWidth="1"/>
    <col min="3" max="3" width="9.6640625" bestFit="1" customWidth="1"/>
    <col min="4" max="4" width="10.88671875" bestFit="1" customWidth="1"/>
    <col min="5" max="5" width="9.33203125" bestFit="1" customWidth="1"/>
    <col min="6" max="6" width="12.44140625" bestFit="1" customWidth="1"/>
    <col min="7" max="7" width="9.21875" bestFit="1" customWidth="1"/>
    <col min="8" max="8" width="11.44140625" bestFit="1" customWidth="1"/>
    <col min="9" max="9" width="13.109375" bestFit="1" customWidth="1"/>
    <col min="10" max="10" width="10.5546875" bestFit="1" customWidth="1"/>
    <col min="11" max="11" width="10.6640625" bestFit="1" customWidth="1"/>
    <col min="12" max="12" width="9.77734375" bestFit="1" customWidth="1"/>
    <col min="13" max="13" width="9.88671875" bestFit="1" customWidth="1"/>
    <col min="14" max="14" width="11.77734375" bestFit="1" customWidth="1"/>
    <col min="15" max="16" width="11.44140625" bestFit="1" customWidth="1"/>
    <col min="17" max="17" width="9.88671875" bestFit="1" customWidth="1"/>
    <col min="18" max="18" width="11" bestFit="1" customWidth="1"/>
    <col min="19" max="19" width="11.5546875" bestFit="1" customWidth="1"/>
    <col min="20" max="20" width="10.77734375" bestFit="1" customWidth="1"/>
  </cols>
  <sheetData>
    <row r="1" spans="1:2" x14ac:dyDescent="0.3">
      <c r="A1" t="s">
        <v>98</v>
      </c>
    </row>
    <row r="2" spans="1:2" x14ac:dyDescent="0.3">
      <c r="A2" t="s">
        <v>10</v>
      </c>
    </row>
    <row r="3" spans="1:2" x14ac:dyDescent="0.3">
      <c r="A3" t="s">
        <v>100</v>
      </c>
    </row>
    <row r="4" spans="1:2" x14ac:dyDescent="0.3">
      <c r="A4" s="6" t="s">
        <v>101</v>
      </c>
      <c r="B4" t="s">
        <v>104</v>
      </c>
    </row>
    <row r="5" spans="1:2" x14ac:dyDescent="0.3">
      <c r="A5" s="7" t="s">
        <v>17</v>
      </c>
      <c r="B5" s="8">
        <v>11</v>
      </c>
    </row>
    <row r="6" spans="1:2" x14ac:dyDescent="0.3">
      <c r="A6" s="7" t="s">
        <v>28</v>
      </c>
      <c r="B6" s="8">
        <v>33</v>
      </c>
    </row>
    <row r="7" spans="1:2" x14ac:dyDescent="0.3">
      <c r="A7" s="7" t="s">
        <v>48</v>
      </c>
      <c r="B7" s="8">
        <v>6</v>
      </c>
    </row>
    <row r="8" spans="1:2" x14ac:dyDescent="0.3">
      <c r="A8" s="7" t="s">
        <v>102</v>
      </c>
      <c r="B8" s="8">
        <v>50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D3DD9-8691-43E5-917A-1AA14EF35B66}">
  <dimension ref="A3:B10"/>
  <sheetViews>
    <sheetView tabSelected="1" workbookViewId="0">
      <selection activeCell="D20" sqref="D20"/>
    </sheetView>
  </sheetViews>
  <sheetFormatPr defaultRowHeight="14.4" x14ac:dyDescent="0.3"/>
  <cols>
    <col min="1" max="1" width="15.33203125" bestFit="1" customWidth="1"/>
    <col min="2" max="2" width="17.77734375" bestFit="1" customWidth="1"/>
  </cols>
  <sheetData>
    <row r="3" spans="1:2" x14ac:dyDescent="0.3">
      <c r="A3" s="6" t="s">
        <v>101</v>
      </c>
      <c r="B3" t="s">
        <v>104</v>
      </c>
    </row>
    <row r="4" spans="1:2" x14ac:dyDescent="0.3">
      <c r="A4" s="7" t="s">
        <v>21</v>
      </c>
      <c r="B4" s="8">
        <v>14</v>
      </c>
    </row>
    <row r="5" spans="1:2" x14ac:dyDescent="0.3">
      <c r="A5" s="7" t="s">
        <v>25</v>
      </c>
      <c r="B5" s="8">
        <v>7</v>
      </c>
    </row>
    <row r="6" spans="1:2" x14ac:dyDescent="0.3">
      <c r="A6" s="7" t="s">
        <v>58</v>
      </c>
      <c r="B6" s="8">
        <v>5</v>
      </c>
    </row>
    <row r="7" spans="1:2" x14ac:dyDescent="0.3">
      <c r="A7" s="7" t="s">
        <v>41</v>
      </c>
      <c r="B7" s="8">
        <v>10</v>
      </c>
    </row>
    <row r="8" spans="1:2" x14ac:dyDescent="0.3">
      <c r="A8" s="7" t="s">
        <v>14</v>
      </c>
      <c r="B8" s="8">
        <v>9</v>
      </c>
    </row>
    <row r="9" spans="1:2" x14ac:dyDescent="0.3">
      <c r="A9" s="7" t="s">
        <v>35</v>
      </c>
      <c r="B9" s="8">
        <v>5</v>
      </c>
    </row>
    <row r="10" spans="1:2" x14ac:dyDescent="0.3">
      <c r="A10" s="7" t="s">
        <v>102</v>
      </c>
      <c r="B10" s="8">
        <v>50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2A3A-47B5-434F-8DBA-478F0522D467}">
  <dimension ref="A3:B10"/>
  <sheetViews>
    <sheetView workbookViewId="0">
      <selection activeCell="A3" sqref="A3"/>
    </sheetView>
  </sheetViews>
  <sheetFormatPr defaultRowHeight="14.4" x14ac:dyDescent="0.3"/>
  <cols>
    <col min="1" max="1" width="15.33203125" bestFit="1" customWidth="1"/>
    <col min="2" max="2" width="21.109375" bestFit="1" customWidth="1"/>
  </cols>
  <sheetData>
    <row r="3" spans="1:2" x14ac:dyDescent="0.3">
      <c r="A3" s="6" t="s">
        <v>101</v>
      </c>
      <c r="B3" t="s">
        <v>113</v>
      </c>
    </row>
    <row r="4" spans="1:2" x14ac:dyDescent="0.3">
      <c r="A4" s="7" t="s">
        <v>21</v>
      </c>
      <c r="B4" s="8">
        <v>946050</v>
      </c>
    </row>
    <row r="5" spans="1:2" x14ac:dyDescent="0.3">
      <c r="A5" s="7" t="s">
        <v>25</v>
      </c>
      <c r="B5" s="8">
        <v>432814</v>
      </c>
    </row>
    <row r="6" spans="1:2" x14ac:dyDescent="0.3">
      <c r="A6" s="7" t="s">
        <v>58</v>
      </c>
      <c r="B6" s="8">
        <v>319442</v>
      </c>
    </row>
    <row r="7" spans="1:2" x14ac:dyDescent="0.3">
      <c r="A7" s="7" t="s">
        <v>41</v>
      </c>
      <c r="B7" s="8">
        <v>630168</v>
      </c>
    </row>
    <row r="8" spans="1:2" x14ac:dyDescent="0.3">
      <c r="A8" s="7" t="s">
        <v>14</v>
      </c>
      <c r="B8" s="8">
        <v>564533</v>
      </c>
    </row>
    <row r="9" spans="1:2" x14ac:dyDescent="0.3">
      <c r="A9" s="7" t="s">
        <v>35</v>
      </c>
      <c r="B9" s="8">
        <v>315464</v>
      </c>
    </row>
    <row r="10" spans="1:2" x14ac:dyDescent="0.3">
      <c r="A10" s="7" t="s">
        <v>102</v>
      </c>
      <c r="B10" s="8">
        <v>3208471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B5ECC-EFB2-40A1-A122-2FCA8FC8C523}">
  <dimension ref="A1:R124"/>
  <sheetViews>
    <sheetView workbookViewId="0">
      <selection sqref="A1:K51"/>
    </sheetView>
  </sheetViews>
  <sheetFormatPr defaultRowHeight="14.4" x14ac:dyDescent="0.3"/>
  <cols>
    <col min="1" max="1" width="13.6640625" customWidth="1"/>
    <col min="2" max="2" width="14.33203125" customWidth="1"/>
    <col min="3" max="3" width="7.88671875" customWidth="1"/>
    <col min="4" max="4" width="13.21875" customWidth="1"/>
    <col min="5" max="5" width="11.88671875" customWidth="1"/>
    <col min="6" max="6" width="12.6640625" customWidth="1"/>
    <col min="7" max="8" width="16" customWidth="1"/>
    <col min="9" max="9" width="15" customWidth="1"/>
    <col min="12" max="12" width="19.88671875" customWidth="1"/>
    <col min="13" max="13" width="13.33203125" customWidth="1"/>
    <col min="14" max="14" width="10.109375" customWidth="1"/>
    <col min="15" max="15" width="15.44140625" customWidth="1"/>
    <col min="16" max="16" width="15.5546875" customWidth="1"/>
    <col min="17" max="17" width="11.77734375" customWidth="1"/>
    <col min="18" max="18" width="13.77734375" customWidth="1"/>
  </cols>
  <sheetData>
    <row r="1" spans="1:1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105</v>
      </c>
      <c r="M1" s="10" t="s">
        <v>106</v>
      </c>
      <c r="N1" s="10" t="s">
        <v>107</v>
      </c>
      <c r="O1" s="10" t="s">
        <v>108</v>
      </c>
      <c r="P1" s="10" t="s">
        <v>109</v>
      </c>
      <c r="Q1" s="10" t="s">
        <v>110</v>
      </c>
      <c r="R1" s="10" t="s">
        <v>111</v>
      </c>
    </row>
    <row r="2" spans="1:18" x14ac:dyDescent="0.3">
      <c r="A2" s="4" t="s">
        <v>11</v>
      </c>
      <c r="B2" s="4" t="s">
        <v>12</v>
      </c>
      <c r="C2" s="4">
        <v>8</v>
      </c>
      <c r="D2" s="4" t="s">
        <v>13</v>
      </c>
      <c r="E2" s="4" t="s">
        <v>14</v>
      </c>
      <c r="F2" s="4" t="s">
        <v>15</v>
      </c>
      <c r="G2" s="5">
        <v>46186</v>
      </c>
      <c r="H2" s="5">
        <v>46189</v>
      </c>
      <c r="I2" s="4">
        <v>47256</v>
      </c>
      <c r="J2" s="4" t="s">
        <v>16</v>
      </c>
      <c r="K2" s="4" t="s">
        <v>17</v>
      </c>
      <c r="L2" cm="1">
        <f t="array" ref="L2:L51">DATEDIF(G2:G51,H2:H51,"d")</f>
        <v>3</v>
      </c>
      <c r="M2" s="11">
        <f>COUNTA(A2:A51)</f>
        <v>50</v>
      </c>
      <c r="N2">
        <f>AVERAGE(C2:C51)</f>
        <v>41.78</v>
      </c>
      <c r="O2">
        <f>MAX(I2:I51)</f>
        <v>117693</v>
      </c>
      <c r="P2">
        <f>MIN(I2:I51)</f>
        <v>18425</v>
      </c>
      <c r="Q2" t="str">
        <f>IF(C2&lt;18,"Child",IF(C2&lt;=59,"Adult","Senior"))</f>
        <v>Child</v>
      </c>
      <c r="R2">
        <f>AVERAGE(_xlfn.ANCHORARRAY(L2))</f>
        <v>7.02</v>
      </c>
    </row>
    <row r="3" spans="1:18" x14ac:dyDescent="0.3">
      <c r="A3" s="4" t="s">
        <v>18</v>
      </c>
      <c r="B3" s="4" t="s">
        <v>19</v>
      </c>
      <c r="C3" s="4">
        <v>59</v>
      </c>
      <c r="D3" s="4" t="s">
        <v>20</v>
      </c>
      <c r="E3" s="4" t="s">
        <v>21</v>
      </c>
      <c r="F3" s="4" t="s">
        <v>22</v>
      </c>
      <c r="G3" s="5">
        <v>46045</v>
      </c>
      <c r="H3" s="5">
        <v>46056</v>
      </c>
      <c r="I3" s="4">
        <v>30280</v>
      </c>
      <c r="J3" s="4" t="s">
        <v>16</v>
      </c>
      <c r="K3" s="4" t="s">
        <v>17</v>
      </c>
      <c r="L3">
        <v>11</v>
      </c>
    </row>
    <row r="4" spans="1:18" x14ac:dyDescent="0.3">
      <c r="A4" s="4" t="s">
        <v>23</v>
      </c>
      <c r="B4" s="4" t="s">
        <v>24</v>
      </c>
      <c r="C4" s="4">
        <v>76</v>
      </c>
      <c r="D4" s="4" t="s">
        <v>20</v>
      </c>
      <c r="E4" s="4" t="s">
        <v>25</v>
      </c>
      <c r="F4" s="4" t="s">
        <v>26</v>
      </c>
      <c r="G4" s="5">
        <v>46177</v>
      </c>
      <c r="H4" s="5">
        <v>46179</v>
      </c>
      <c r="I4" s="4">
        <v>103181</v>
      </c>
      <c r="J4" s="4" t="s">
        <v>27</v>
      </c>
      <c r="K4" s="4" t="s">
        <v>28</v>
      </c>
      <c r="L4">
        <v>2</v>
      </c>
    </row>
    <row r="5" spans="1:18" x14ac:dyDescent="0.3">
      <c r="A5" s="4" t="s">
        <v>29</v>
      </c>
      <c r="B5" s="4" t="s">
        <v>30</v>
      </c>
      <c r="C5" s="4">
        <v>40</v>
      </c>
      <c r="D5" s="4" t="s">
        <v>20</v>
      </c>
      <c r="E5" s="4" t="s">
        <v>14</v>
      </c>
      <c r="F5" s="4" t="s">
        <v>15</v>
      </c>
      <c r="G5" s="5">
        <v>46137</v>
      </c>
      <c r="H5" s="5">
        <v>46148</v>
      </c>
      <c r="I5" s="4">
        <v>109506</v>
      </c>
      <c r="J5" s="4" t="s">
        <v>27</v>
      </c>
      <c r="K5" s="4" t="s">
        <v>28</v>
      </c>
      <c r="L5">
        <v>11</v>
      </c>
    </row>
    <row r="6" spans="1:18" x14ac:dyDescent="0.3">
      <c r="A6" s="4" t="s">
        <v>31</v>
      </c>
      <c r="B6" s="4" t="s">
        <v>32</v>
      </c>
      <c r="C6" s="4">
        <v>48</v>
      </c>
      <c r="D6" s="4" t="s">
        <v>20</v>
      </c>
      <c r="E6" s="4" t="s">
        <v>21</v>
      </c>
      <c r="F6" s="4" t="s">
        <v>22</v>
      </c>
      <c r="G6" s="5">
        <v>46062</v>
      </c>
      <c r="H6" s="5">
        <v>46067</v>
      </c>
      <c r="I6" s="4">
        <v>67797</v>
      </c>
      <c r="J6" s="4" t="s">
        <v>27</v>
      </c>
      <c r="K6" s="4" t="s">
        <v>28</v>
      </c>
      <c r="L6">
        <v>5</v>
      </c>
    </row>
    <row r="7" spans="1:18" x14ac:dyDescent="0.3">
      <c r="A7" s="4" t="s">
        <v>33</v>
      </c>
      <c r="B7" s="4" t="s">
        <v>34</v>
      </c>
      <c r="C7" s="4">
        <v>10</v>
      </c>
      <c r="D7" s="4" t="s">
        <v>13</v>
      </c>
      <c r="E7" s="4" t="s">
        <v>35</v>
      </c>
      <c r="F7" s="4" t="s">
        <v>36</v>
      </c>
      <c r="G7" s="5">
        <v>46177</v>
      </c>
      <c r="H7" s="5">
        <v>46183</v>
      </c>
      <c r="I7" s="4">
        <v>34361</v>
      </c>
      <c r="J7" s="4" t="s">
        <v>16</v>
      </c>
      <c r="K7" s="4" t="s">
        <v>17</v>
      </c>
      <c r="L7">
        <v>6</v>
      </c>
    </row>
    <row r="8" spans="1:18" x14ac:dyDescent="0.3">
      <c r="A8" s="4" t="s">
        <v>37</v>
      </c>
      <c r="B8" s="4" t="s">
        <v>38</v>
      </c>
      <c r="C8" s="4">
        <v>51</v>
      </c>
      <c r="D8" s="4" t="s">
        <v>20</v>
      </c>
      <c r="E8" s="4" t="s">
        <v>25</v>
      </c>
      <c r="F8" s="4" t="s">
        <v>26</v>
      </c>
      <c r="G8" s="5">
        <v>46098</v>
      </c>
      <c r="H8" s="5">
        <v>46110</v>
      </c>
      <c r="I8" s="4">
        <v>27116</v>
      </c>
      <c r="J8" s="4" t="s">
        <v>16</v>
      </c>
      <c r="K8" s="4" t="s">
        <v>28</v>
      </c>
      <c r="L8">
        <v>12</v>
      </c>
    </row>
    <row r="9" spans="1:18" x14ac:dyDescent="0.3">
      <c r="A9" s="4" t="s">
        <v>39</v>
      </c>
      <c r="B9" s="4" t="s">
        <v>40</v>
      </c>
      <c r="C9" s="4">
        <v>17</v>
      </c>
      <c r="D9" s="4" t="s">
        <v>13</v>
      </c>
      <c r="E9" s="4" t="s">
        <v>41</v>
      </c>
      <c r="F9" s="4" t="s">
        <v>42</v>
      </c>
      <c r="G9" s="5">
        <v>46043</v>
      </c>
      <c r="H9" s="5">
        <v>46048</v>
      </c>
      <c r="I9" s="4">
        <v>77429</v>
      </c>
      <c r="J9" s="4" t="s">
        <v>16</v>
      </c>
      <c r="K9" s="4" t="s">
        <v>28</v>
      </c>
      <c r="L9">
        <v>5</v>
      </c>
    </row>
    <row r="10" spans="1:18" x14ac:dyDescent="0.3">
      <c r="A10" s="4" t="s">
        <v>43</v>
      </c>
      <c r="B10" s="4" t="s">
        <v>44</v>
      </c>
      <c r="C10" s="4">
        <v>39</v>
      </c>
      <c r="D10" s="4" t="s">
        <v>20</v>
      </c>
      <c r="E10" s="4" t="s">
        <v>35</v>
      </c>
      <c r="F10" s="4" t="s">
        <v>36</v>
      </c>
      <c r="G10" s="5">
        <v>46113</v>
      </c>
      <c r="H10" s="5">
        <v>46118</v>
      </c>
      <c r="I10" s="4">
        <v>101227</v>
      </c>
      <c r="J10" s="4" t="s">
        <v>16</v>
      </c>
      <c r="K10" s="4" t="s">
        <v>28</v>
      </c>
      <c r="L10">
        <v>5</v>
      </c>
    </row>
    <row r="11" spans="1:18" x14ac:dyDescent="0.3">
      <c r="A11" s="4" t="s">
        <v>45</v>
      </c>
      <c r="B11" s="4" t="s">
        <v>38</v>
      </c>
      <c r="C11" s="4">
        <v>39</v>
      </c>
      <c r="D11" s="4" t="s">
        <v>20</v>
      </c>
      <c r="E11" s="4" t="s">
        <v>25</v>
      </c>
      <c r="F11" s="4" t="s">
        <v>26</v>
      </c>
      <c r="G11" s="5">
        <v>46141</v>
      </c>
      <c r="H11" s="5">
        <v>46149</v>
      </c>
      <c r="I11" s="4">
        <v>60504</v>
      </c>
      <c r="J11" s="4" t="s">
        <v>16</v>
      </c>
      <c r="K11" s="4" t="s">
        <v>28</v>
      </c>
      <c r="L11">
        <v>8</v>
      </c>
    </row>
    <row r="12" spans="1:18" x14ac:dyDescent="0.3">
      <c r="A12" s="4" t="s">
        <v>46</v>
      </c>
      <c r="B12" s="4" t="s">
        <v>47</v>
      </c>
      <c r="C12" s="4">
        <v>39</v>
      </c>
      <c r="D12" s="4" t="s">
        <v>20</v>
      </c>
      <c r="E12" s="4" t="s">
        <v>14</v>
      </c>
      <c r="F12" s="4" t="s">
        <v>15</v>
      </c>
      <c r="G12" s="5">
        <v>46103</v>
      </c>
      <c r="H12" s="5">
        <v>46111</v>
      </c>
      <c r="I12" s="4">
        <v>92341</v>
      </c>
      <c r="J12" s="4" t="s">
        <v>16</v>
      </c>
      <c r="K12" s="4" t="s">
        <v>48</v>
      </c>
      <c r="L12">
        <v>8</v>
      </c>
    </row>
    <row r="13" spans="1:18" x14ac:dyDescent="0.3">
      <c r="A13" s="4" t="s">
        <v>49</v>
      </c>
      <c r="B13" s="4" t="s">
        <v>50</v>
      </c>
      <c r="C13" s="4">
        <v>63</v>
      </c>
      <c r="D13" s="4" t="s">
        <v>20</v>
      </c>
      <c r="E13" s="4" t="s">
        <v>41</v>
      </c>
      <c r="F13" s="4" t="s">
        <v>42</v>
      </c>
      <c r="G13" s="5">
        <v>46124</v>
      </c>
      <c r="H13" s="5">
        <v>46136</v>
      </c>
      <c r="I13" s="4">
        <v>36301</v>
      </c>
      <c r="J13" s="4" t="s">
        <v>27</v>
      </c>
      <c r="K13" s="4" t="s">
        <v>17</v>
      </c>
      <c r="L13">
        <v>12</v>
      </c>
    </row>
    <row r="14" spans="1:18" x14ac:dyDescent="0.3">
      <c r="A14" s="4" t="s">
        <v>51</v>
      </c>
      <c r="B14" s="4" t="s">
        <v>52</v>
      </c>
      <c r="C14" s="4">
        <v>56</v>
      </c>
      <c r="D14" s="4" t="s">
        <v>13</v>
      </c>
      <c r="E14" s="4" t="s">
        <v>14</v>
      </c>
      <c r="F14" s="4" t="s">
        <v>15</v>
      </c>
      <c r="G14" s="5">
        <v>46132</v>
      </c>
      <c r="H14" s="5">
        <v>46143</v>
      </c>
      <c r="I14" s="4">
        <v>36131</v>
      </c>
      <c r="J14" s="4" t="s">
        <v>27</v>
      </c>
      <c r="K14" s="4" t="s">
        <v>28</v>
      </c>
      <c r="L14">
        <v>11</v>
      </c>
    </row>
    <row r="15" spans="1:18" x14ac:dyDescent="0.3">
      <c r="A15" s="4" t="s">
        <v>53</v>
      </c>
      <c r="B15" s="4" t="s">
        <v>54</v>
      </c>
      <c r="C15" s="4">
        <v>24</v>
      </c>
      <c r="D15" s="4" t="s">
        <v>20</v>
      </c>
      <c r="E15" s="4" t="s">
        <v>25</v>
      </c>
      <c r="F15" s="4" t="s">
        <v>26</v>
      </c>
      <c r="G15" s="5">
        <v>46035</v>
      </c>
      <c r="H15" s="5">
        <v>46038</v>
      </c>
      <c r="I15" s="4">
        <v>73333</v>
      </c>
      <c r="J15" s="4" t="s">
        <v>16</v>
      </c>
      <c r="K15" s="4" t="s">
        <v>48</v>
      </c>
      <c r="L15">
        <v>3</v>
      </c>
    </row>
    <row r="16" spans="1:18" x14ac:dyDescent="0.3">
      <c r="A16" s="4" t="s">
        <v>55</v>
      </c>
      <c r="B16" s="4" t="s">
        <v>32</v>
      </c>
      <c r="C16" s="4">
        <v>64</v>
      </c>
      <c r="D16" s="4" t="s">
        <v>13</v>
      </c>
      <c r="E16" s="4" t="s">
        <v>35</v>
      </c>
      <c r="F16" s="4" t="s">
        <v>36</v>
      </c>
      <c r="G16" s="5">
        <v>46120</v>
      </c>
      <c r="H16" s="5">
        <v>46131</v>
      </c>
      <c r="I16" s="4">
        <v>19504</v>
      </c>
      <c r="J16" s="4" t="s">
        <v>27</v>
      </c>
      <c r="K16" s="4" t="s">
        <v>28</v>
      </c>
      <c r="L16">
        <v>11</v>
      </c>
    </row>
    <row r="17" spans="1:12" x14ac:dyDescent="0.3">
      <c r="A17" s="4" t="s">
        <v>56</v>
      </c>
      <c r="B17" s="4" t="s">
        <v>57</v>
      </c>
      <c r="C17" s="4">
        <v>60</v>
      </c>
      <c r="D17" s="4" t="s">
        <v>20</v>
      </c>
      <c r="E17" s="4" t="s">
        <v>58</v>
      </c>
      <c r="F17" s="4" t="s">
        <v>59</v>
      </c>
      <c r="G17" s="5">
        <v>46051</v>
      </c>
      <c r="H17" s="5">
        <v>46057</v>
      </c>
      <c r="I17" s="4">
        <v>18425</v>
      </c>
      <c r="J17" s="4" t="s">
        <v>16</v>
      </c>
      <c r="K17" s="4" t="s">
        <v>17</v>
      </c>
      <c r="L17">
        <v>6</v>
      </c>
    </row>
    <row r="18" spans="1:12" x14ac:dyDescent="0.3">
      <c r="A18" s="4" t="s">
        <v>60</v>
      </c>
      <c r="B18" s="4" t="s">
        <v>44</v>
      </c>
      <c r="C18" s="4">
        <v>43</v>
      </c>
      <c r="D18" s="4" t="s">
        <v>20</v>
      </c>
      <c r="E18" s="4" t="s">
        <v>14</v>
      </c>
      <c r="F18" s="4" t="s">
        <v>15</v>
      </c>
      <c r="G18" s="5">
        <v>46050</v>
      </c>
      <c r="H18" s="5">
        <v>46062</v>
      </c>
      <c r="I18" s="4">
        <v>67009</v>
      </c>
      <c r="J18" s="4" t="s">
        <v>16</v>
      </c>
      <c r="K18" s="4" t="s">
        <v>17</v>
      </c>
      <c r="L18">
        <v>12</v>
      </c>
    </row>
    <row r="19" spans="1:12" x14ac:dyDescent="0.3">
      <c r="A19" s="4" t="s">
        <v>61</v>
      </c>
      <c r="B19" s="4" t="s">
        <v>50</v>
      </c>
      <c r="C19" s="4">
        <v>7</v>
      </c>
      <c r="D19" s="4" t="s">
        <v>20</v>
      </c>
      <c r="E19" s="4" t="s">
        <v>41</v>
      </c>
      <c r="F19" s="4" t="s">
        <v>42</v>
      </c>
      <c r="G19" s="5">
        <v>46105</v>
      </c>
      <c r="H19" s="5">
        <v>46114</v>
      </c>
      <c r="I19" s="4">
        <v>58306</v>
      </c>
      <c r="J19" s="4" t="s">
        <v>16</v>
      </c>
      <c r="K19" s="4" t="s">
        <v>28</v>
      </c>
      <c r="L19">
        <v>9</v>
      </c>
    </row>
    <row r="20" spans="1:12" x14ac:dyDescent="0.3">
      <c r="A20" s="4" t="s">
        <v>62</v>
      </c>
      <c r="B20" s="4" t="s">
        <v>24</v>
      </c>
      <c r="C20" s="4">
        <v>15</v>
      </c>
      <c r="D20" s="4" t="s">
        <v>13</v>
      </c>
      <c r="E20" s="4" t="s">
        <v>21</v>
      </c>
      <c r="F20" s="4" t="s">
        <v>22</v>
      </c>
      <c r="G20" s="5">
        <v>46168</v>
      </c>
      <c r="H20" s="5">
        <v>46171</v>
      </c>
      <c r="I20" s="4">
        <v>117693</v>
      </c>
      <c r="J20" s="4" t="s">
        <v>16</v>
      </c>
      <c r="K20" s="4" t="s">
        <v>28</v>
      </c>
      <c r="L20">
        <v>3</v>
      </c>
    </row>
    <row r="21" spans="1:12" x14ac:dyDescent="0.3">
      <c r="A21" s="4" t="s">
        <v>63</v>
      </c>
      <c r="B21" s="4" t="s">
        <v>54</v>
      </c>
      <c r="C21" s="4">
        <v>75</v>
      </c>
      <c r="D21" s="4" t="s">
        <v>20</v>
      </c>
      <c r="E21" s="4" t="s">
        <v>41</v>
      </c>
      <c r="F21" s="4" t="s">
        <v>42</v>
      </c>
      <c r="G21" s="5">
        <v>46191</v>
      </c>
      <c r="H21" s="5">
        <v>46200</v>
      </c>
      <c r="I21" s="4">
        <v>87163</v>
      </c>
      <c r="J21" s="4" t="s">
        <v>27</v>
      </c>
      <c r="K21" s="4" t="s">
        <v>28</v>
      </c>
      <c r="L21">
        <v>9</v>
      </c>
    </row>
    <row r="22" spans="1:12" x14ac:dyDescent="0.3">
      <c r="A22" s="4" t="s">
        <v>64</v>
      </c>
      <c r="B22" s="4" t="s">
        <v>40</v>
      </c>
      <c r="C22" s="4">
        <v>30</v>
      </c>
      <c r="D22" s="4" t="s">
        <v>13</v>
      </c>
      <c r="E22" s="4" t="s">
        <v>58</v>
      </c>
      <c r="F22" s="4" t="s">
        <v>59</v>
      </c>
      <c r="G22" s="5">
        <v>46161</v>
      </c>
      <c r="H22" s="5">
        <v>46175</v>
      </c>
      <c r="I22" s="4">
        <v>106039</v>
      </c>
      <c r="J22" s="4" t="s">
        <v>27</v>
      </c>
      <c r="K22" s="4" t="s">
        <v>17</v>
      </c>
      <c r="L22">
        <v>14</v>
      </c>
    </row>
    <row r="23" spans="1:12" x14ac:dyDescent="0.3">
      <c r="A23" s="4" t="s">
        <v>65</v>
      </c>
      <c r="B23" s="4" t="s">
        <v>66</v>
      </c>
      <c r="C23" s="4">
        <v>36</v>
      </c>
      <c r="D23" s="4" t="s">
        <v>20</v>
      </c>
      <c r="E23" s="4" t="s">
        <v>21</v>
      </c>
      <c r="F23" s="4" t="s">
        <v>22</v>
      </c>
      <c r="G23" s="5">
        <v>46138</v>
      </c>
      <c r="H23" s="5">
        <v>46141</v>
      </c>
      <c r="I23" s="4">
        <v>62313</v>
      </c>
      <c r="J23" s="4" t="s">
        <v>16</v>
      </c>
      <c r="K23" s="4" t="s">
        <v>17</v>
      </c>
      <c r="L23">
        <v>3</v>
      </c>
    </row>
    <row r="24" spans="1:12" x14ac:dyDescent="0.3">
      <c r="A24" s="4" t="s">
        <v>67</v>
      </c>
      <c r="B24" s="4" t="s">
        <v>38</v>
      </c>
      <c r="C24" s="4">
        <v>14</v>
      </c>
      <c r="D24" s="4" t="s">
        <v>20</v>
      </c>
      <c r="E24" s="4" t="s">
        <v>14</v>
      </c>
      <c r="F24" s="4" t="s">
        <v>15</v>
      </c>
      <c r="G24" s="5">
        <v>46079</v>
      </c>
      <c r="H24" s="5">
        <v>46081</v>
      </c>
      <c r="I24" s="4">
        <v>26834</v>
      </c>
      <c r="J24" s="4" t="s">
        <v>27</v>
      </c>
      <c r="K24" s="4" t="s">
        <v>28</v>
      </c>
      <c r="L24">
        <v>2</v>
      </c>
    </row>
    <row r="25" spans="1:12" x14ac:dyDescent="0.3">
      <c r="A25" s="4" t="s">
        <v>68</v>
      </c>
      <c r="B25" s="4" t="s">
        <v>12</v>
      </c>
      <c r="C25" s="4">
        <v>40</v>
      </c>
      <c r="D25" s="4" t="s">
        <v>13</v>
      </c>
      <c r="E25" s="4" t="s">
        <v>14</v>
      </c>
      <c r="F25" s="4" t="s">
        <v>15</v>
      </c>
      <c r="G25" s="5">
        <v>46154</v>
      </c>
      <c r="H25" s="5">
        <v>46159</v>
      </c>
      <c r="I25" s="4">
        <v>88678</v>
      </c>
      <c r="J25" s="4" t="s">
        <v>27</v>
      </c>
      <c r="K25" s="4" t="s">
        <v>28</v>
      </c>
      <c r="L25">
        <v>5</v>
      </c>
    </row>
    <row r="26" spans="1:12" x14ac:dyDescent="0.3">
      <c r="A26" s="4" t="s">
        <v>69</v>
      </c>
      <c r="B26" s="4" t="s">
        <v>30</v>
      </c>
      <c r="C26" s="4">
        <v>57</v>
      </c>
      <c r="D26" s="4" t="s">
        <v>20</v>
      </c>
      <c r="E26" s="4" t="s">
        <v>21</v>
      </c>
      <c r="F26" s="4" t="s">
        <v>22</v>
      </c>
      <c r="G26" s="5">
        <v>46144</v>
      </c>
      <c r="H26" s="5">
        <v>46158</v>
      </c>
      <c r="I26" s="4">
        <v>30704</v>
      </c>
      <c r="J26" s="4" t="s">
        <v>27</v>
      </c>
      <c r="K26" s="4" t="s">
        <v>48</v>
      </c>
      <c r="L26">
        <v>14</v>
      </c>
    </row>
    <row r="27" spans="1:12" x14ac:dyDescent="0.3">
      <c r="A27" s="4" t="s">
        <v>70</v>
      </c>
      <c r="B27" s="4" t="s">
        <v>47</v>
      </c>
      <c r="C27" s="4">
        <v>11</v>
      </c>
      <c r="D27" s="4" t="s">
        <v>20</v>
      </c>
      <c r="E27" s="4" t="s">
        <v>21</v>
      </c>
      <c r="F27" s="4" t="s">
        <v>22</v>
      </c>
      <c r="G27" s="5">
        <v>46128</v>
      </c>
      <c r="H27" s="5">
        <v>46137</v>
      </c>
      <c r="I27" s="4">
        <v>70772</v>
      </c>
      <c r="J27" s="4" t="s">
        <v>16</v>
      </c>
      <c r="K27" s="4" t="s">
        <v>28</v>
      </c>
      <c r="L27">
        <v>9</v>
      </c>
    </row>
    <row r="28" spans="1:12" x14ac:dyDescent="0.3">
      <c r="A28" s="4" t="s">
        <v>71</v>
      </c>
      <c r="B28" s="4" t="s">
        <v>44</v>
      </c>
      <c r="C28" s="4">
        <v>73</v>
      </c>
      <c r="D28" s="4" t="s">
        <v>13</v>
      </c>
      <c r="E28" s="4" t="s">
        <v>14</v>
      </c>
      <c r="F28" s="4" t="s">
        <v>15</v>
      </c>
      <c r="G28" s="5">
        <v>46072</v>
      </c>
      <c r="H28" s="5">
        <v>46077</v>
      </c>
      <c r="I28" s="4">
        <v>73296</v>
      </c>
      <c r="J28" s="4" t="s">
        <v>27</v>
      </c>
      <c r="K28" s="4" t="s">
        <v>48</v>
      </c>
      <c r="L28">
        <v>5</v>
      </c>
    </row>
    <row r="29" spans="1:12" x14ac:dyDescent="0.3">
      <c r="A29" s="4" t="s">
        <v>72</v>
      </c>
      <c r="B29" s="4" t="s">
        <v>24</v>
      </c>
      <c r="C29" s="4">
        <v>61</v>
      </c>
      <c r="D29" s="4" t="s">
        <v>20</v>
      </c>
      <c r="E29" s="4" t="s">
        <v>21</v>
      </c>
      <c r="F29" s="4" t="s">
        <v>22</v>
      </c>
      <c r="G29" s="5">
        <v>46086</v>
      </c>
      <c r="H29" s="5">
        <v>46089</v>
      </c>
      <c r="I29" s="4">
        <v>103477</v>
      </c>
      <c r="J29" s="4" t="s">
        <v>16</v>
      </c>
      <c r="K29" s="4" t="s">
        <v>28</v>
      </c>
      <c r="L29">
        <v>3</v>
      </c>
    </row>
    <row r="30" spans="1:12" x14ac:dyDescent="0.3">
      <c r="A30" s="4" t="s">
        <v>73</v>
      </c>
      <c r="B30" s="4" t="s">
        <v>34</v>
      </c>
      <c r="C30" s="4">
        <v>57</v>
      </c>
      <c r="D30" s="4" t="s">
        <v>13</v>
      </c>
      <c r="E30" s="4" t="s">
        <v>58</v>
      </c>
      <c r="F30" s="4" t="s">
        <v>59</v>
      </c>
      <c r="G30" s="5">
        <v>46083</v>
      </c>
      <c r="H30" s="5">
        <v>46087</v>
      </c>
      <c r="I30" s="4">
        <v>46016</v>
      </c>
      <c r="J30" s="4" t="s">
        <v>16</v>
      </c>
      <c r="K30" s="4" t="s">
        <v>28</v>
      </c>
      <c r="L30">
        <v>4</v>
      </c>
    </row>
    <row r="31" spans="1:12" x14ac:dyDescent="0.3">
      <c r="A31" s="4" t="s">
        <v>74</v>
      </c>
      <c r="B31" s="4" t="s">
        <v>30</v>
      </c>
      <c r="C31" s="4">
        <v>54</v>
      </c>
      <c r="D31" s="4" t="s">
        <v>13</v>
      </c>
      <c r="E31" s="4" t="s">
        <v>58</v>
      </c>
      <c r="F31" s="4" t="s">
        <v>59</v>
      </c>
      <c r="G31" s="5">
        <v>46120</v>
      </c>
      <c r="H31" s="5">
        <v>46122</v>
      </c>
      <c r="I31" s="4">
        <v>55388</v>
      </c>
      <c r="J31" s="4" t="s">
        <v>27</v>
      </c>
      <c r="K31" s="4" t="s">
        <v>28</v>
      </c>
      <c r="L31">
        <v>2</v>
      </c>
    </row>
    <row r="32" spans="1:12" x14ac:dyDescent="0.3">
      <c r="A32" s="4" t="s">
        <v>75</v>
      </c>
      <c r="B32" s="4" t="s">
        <v>24</v>
      </c>
      <c r="C32" s="4">
        <v>32</v>
      </c>
      <c r="D32" s="4" t="s">
        <v>20</v>
      </c>
      <c r="E32" s="4" t="s">
        <v>35</v>
      </c>
      <c r="F32" s="4" t="s">
        <v>36</v>
      </c>
      <c r="G32" s="5">
        <v>46071</v>
      </c>
      <c r="H32" s="5">
        <v>46077</v>
      </c>
      <c r="I32" s="4">
        <v>114434</v>
      </c>
      <c r="J32" s="4" t="s">
        <v>16</v>
      </c>
      <c r="K32" s="4" t="s">
        <v>28</v>
      </c>
      <c r="L32">
        <v>6</v>
      </c>
    </row>
    <row r="33" spans="1:12" x14ac:dyDescent="0.3">
      <c r="A33" s="4" t="s">
        <v>76</v>
      </c>
      <c r="B33" s="4" t="s">
        <v>77</v>
      </c>
      <c r="C33" s="4">
        <v>66</v>
      </c>
      <c r="D33" s="4" t="s">
        <v>20</v>
      </c>
      <c r="E33" s="4" t="s">
        <v>21</v>
      </c>
      <c r="F33" s="4" t="s">
        <v>22</v>
      </c>
      <c r="G33" s="5">
        <v>46037</v>
      </c>
      <c r="H33" s="5">
        <v>46039</v>
      </c>
      <c r="I33" s="4">
        <v>84562</v>
      </c>
      <c r="J33" s="4" t="s">
        <v>16</v>
      </c>
      <c r="K33" s="4" t="s">
        <v>28</v>
      </c>
      <c r="L33">
        <v>2</v>
      </c>
    </row>
    <row r="34" spans="1:12" x14ac:dyDescent="0.3">
      <c r="A34" s="4" t="s">
        <v>78</v>
      </c>
      <c r="B34" s="4" t="s">
        <v>50</v>
      </c>
      <c r="C34" s="4">
        <v>35</v>
      </c>
      <c r="D34" s="4" t="s">
        <v>13</v>
      </c>
      <c r="E34" s="4" t="s">
        <v>21</v>
      </c>
      <c r="F34" s="4" t="s">
        <v>22</v>
      </c>
      <c r="G34" s="5">
        <v>46175</v>
      </c>
      <c r="H34" s="5">
        <v>46178</v>
      </c>
      <c r="I34" s="4">
        <v>92668</v>
      </c>
      <c r="J34" s="4" t="s">
        <v>16</v>
      </c>
      <c r="K34" s="4" t="s">
        <v>17</v>
      </c>
      <c r="L34">
        <v>3</v>
      </c>
    </row>
    <row r="35" spans="1:12" x14ac:dyDescent="0.3">
      <c r="A35" s="4" t="s">
        <v>79</v>
      </c>
      <c r="B35" s="4" t="s">
        <v>47</v>
      </c>
      <c r="C35" s="4">
        <v>77</v>
      </c>
      <c r="D35" s="4" t="s">
        <v>13</v>
      </c>
      <c r="E35" s="4" t="s">
        <v>41</v>
      </c>
      <c r="F35" s="4" t="s">
        <v>42</v>
      </c>
      <c r="G35" s="5">
        <v>46043</v>
      </c>
      <c r="H35" s="5">
        <v>46051</v>
      </c>
      <c r="I35" s="4">
        <v>44772</v>
      </c>
      <c r="J35" s="4" t="s">
        <v>16</v>
      </c>
      <c r="K35" s="4" t="s">
        <v>28</v>
      </c>
      <c r="L35">
        <v>8</v>
      </c>
    </row>
    <row r="36" spans="1:12" x14ac:dyDescent="0.3">
      <c r="A36" s="4" t="s">
        <v>80</v>
      </c>
      <c r="B36" s="4" t="s">
        <v>77</v>
      </c>
      <c r="C36" s="4">
        <v>43</v>
      </c>
      <c r="D36" s="4" t="s">
        <v>13</v>
      </c>
      <c r="E36" s="4" t="s">
        <v>41</v>
      </c>
      <c r="F36" s="4" t="s">
        <v>42</v>
      </c>
      <c r="G36" s="5">
        <v>46124</v>
      </c>
      <c r="H36" s="5">
        <v>46128</v>
      </c>
      <c r="I36" s="4">
        <v>116548</v>
      </c>
      <c r="J36" s="4" t="s">
        <v>16</v>
      </c>
      <c r="K36" s="4" t="s">
        <v>48</v>
      </c>
      <c r="L36">
        <v>4</v>
      </c>
    </row>
    <row r="37" spans="1:12" x14ac:dyDescent="0.3">
      <c r="A37" s="4" t="s">
        <v>81</v>
      </c>
      <c r="B37" s="4" t="s">
        <v>52</v>
      </c>
      <c r="C37" s="4">
        <v>17</v>
      </c>
      <c r="D37" s="4" t="s">
        <v>20</v>
      </c>
      <c r="E37" s="4" t="s">
        <v>35</v>
      </c>
      <c r="F37" s="4" t="s">
        <v>36</v>
      </c>
      <c r="G37" s="5">
        <v>46182</v>
      </c>
      <c r="H37" s="5">
        <v>46193</v>
      </c>
      <c r="I37" s="4">
        <v>45938</v>
      </c>
      <c r="J37" s="4" t="s">
        <v>27</v>
      </c>
      <c r="K37" s="4" t="s">
        <v>28</v>
      </c>
      <c r="L37">
        <v>11</v>
      </c>
    </row>
    <row r="38" spans="1:12" x14ac:dyDescent="0.3">
      <c r="A38" s="4" t="s">
        <v>82</v>
      </c>
      <c r="B38" s="4" t="s">
        <v>83</v>
      </c>
      <c r="C38" s="4">
        <v>36</v>
      </c>
      <c r="D38" s="4" t="s">
        <v>13</v>
      </c>
      <c r="E38" s="4" t="s">
        <v>41</v>
      </c>
      <c r="F38" s="4" t="s">
        <v>42</v>
      </c>
      <c r="G38" s="5">
        <v>46112</v>
      </c>
      <c r="H38" s="5">
        <v>46115</v>
      </c>
      <c r="I38" s="4">
        <v>38676</v>
      </c>
      <c r="J38" s="4" t="s">
        <v>27</v>
      </c>
      <c r="K38" s="4" t="s">
        <v>17</v>
      </c>
      <c r="L38">
        <v>3</v>
      </c>
    </row>
    <row r="39" spans="1:12" x14ac:dyDescent="0.3">
      <c r="A39" s="4" t="s">
        <v>84</v>
      </c>
      <c r="B39" s="4" t="s">
        <v>12</v>
      </c>
      <c r="C39" s="4">
        <v>6</v>
      </c>
      <c r="D39" s="4" t="s">
        <v>13</v>
      </c>
      <c r="E39" s="4" t="s">
        <v>25</v>
      </c>
      <c r="F39" s="4" t="s">
        <v>26</v>
      </c>
      <c r="G39" s="5">
        <v>46190</v>
      </c>
      <c r="H39" s="5">
        <v>46200</v>
      </c>
      <c r="I39" s="4">
        <v>31577</v>
      </c>
      <c r="J39" s="4" t="s">
        <v>27</v>
      </c>
      <c r="K39" s="4" t="s">
        <v>28</v>
      </c>
      <c r="L39">
        <v>10</v>
      </c>
    </row>
    <row r="40" spans="1:12" x14ac:dyDescent="0.3">
      <c r="A40" s="4" t="s">
        <v>85</v>
      </c>
      <c r="B40" s="4" t="s">
        <v>54</v>
      </c>
      <c r="C40" s="4">
        <v>75</v>
      </c>
      <c r="D40" s="4" t="s">
        <v>20</v>
      </c>
      <c r="E40" s="4" t="s">
        <v>41</v>
      </c>
      <c r="F40" s="4" t="s">
        <v>42</v>
      </c>
      <c r="G40" s="5">
        <v>46050</v>
      </c>
      <c r="H40" s="5">
        <v>46063</v>
      </c>
      <c r="I40" s="4">
        <v>54930</v>
      </c>
      <c r="J40" s="4" t="s">
        <v>16</v>
      </c>
      <c r="K40" s="4" t="s">
        <v>28</v>
      </c>
      <c r="L40">
        <v>13</v>
      </c>
    </row>
    <row r="41" spans="1:12" x14ac:dyDescent="0.3">
      <c r="A41" s="4" t="s">
        <v>86</v>
      </c>
      <c r="B41" s="4" t="s">
        <v>77</v>
      </c>
      <c r="C41" s="4">
        <v>38</v>
      </c>
      <c r="D41" s="4" t="s">
        <v>13</v>
      </c>
      <c r="E41" s="4" t="s">
        <v>41</v>
      </c>
      <c r="F41" s="4" t="s">
        <v>42</v>
      </c>
      <c r="G41" s="5">
        <v>46075</v>
      </c>
      <c r="H41" s="5">
        <v>46087</v>
      </c>
      <c r="I41" s="4">
        <v>24658</v>
      </c>
      <c r="J41" s="4" t="s">
        <v>27</v>
      </c>
      <c r="K41" s="4" t="s">
        <v>28</v>
      </c>
      <c r="L41">
        <v>12</v>
      </c>
    </row>
    <row r="42" spans="1:12" x14ac:dyDescent="0.3">
      <c r="A42" s="4" t="s">
        <v>87</v>
      </c>
      <c r="B42" s="4" t="s">
        <v>44</v>
      </c>
      <c r="C42" s="4">
        <v>47</v>
      </c>
      <c r="D42" s="4" t="s">
        <v>20</v>
      </c>
      <c r="E42" s="4" t="s">
        <v>25</v>
      </c>
      <c r="F42" s="4" t="s">
        <v>26</v>
      </c>
      <c r="G42" s="5">
        <v>46034</v>
      </c>
      <c r="H42" s="5">
        <v>46036</v>
      </c>
      <c r="I42" s="4">
        <v>52335</v>
      </c>
      <c r="J42" s="4" t="s">
        <v>27</v>
      </c>
      <c r="K42" s="4" t="s">
        <v>17</v>
      </c>
      <c r="L42">
        <v>2</v>
      </c>
    </row>
    <row r="43" spans="1:12" x14ac:dyDescent="0.3">
      <c r="A43" s="4" t="s">
        <v>88</v>
      </c>
      <c r="B43" s="4" t="s">
        <v>12</v>
      </c>
      <c r="C43" s="4">
        <v>76</v>
      </c>
      <c r="D43" s="4" t="s">
        <v>20</v>
      </c>
      <c r="E43" s="4" t="s">
        <v>21</v>
      </c>
      <c r="F43" s="4" t="s">
        <v>22</v>
      </c>
      <c r="G43" s="5">
        <v>46203</v>
      </c>
      <c r="H43" s="5">
        <v>46211</v>
      </c>
      <c r="I43" s="4">
        <v>27862</v>
      </c>
      <c r="J43" s="4" t="s">
        <v>16</v>
      </c>
      <c r="K43" s="4" t="s">
        <v>28</v>
      </c>
      <c r="L43">
        <v>8</v>
      </c>
    </row>
    <row r="44" spans="1:12" x14ac:dyDescent="0.3">
      <c r="A44" s="4" t="s">
        <v>89</v>
      </c>
      <c r="B44" s="4" t="s">
        <v>90</v>
      </c>
      <c r="C44" s="4">
        <v>23</v>
      </c>
      <c r="D44" s="4" t="s">
        <v>13</v>
      </c>
      <c r="E44" s="4" t="s">
        <v>14</v>
      </c>
      <c r="F44" s="4" t="s">
        <v>15</v>
      </c>
      <c r="G44" s="5">
        <v>46172</v>
      </c>
      <c r="H44" s="5">
        <v>46182</v>
      </c>
      <c r="I44" s="4">
        <v>23482</v>
      </c>
      <c r="J44" s="4" t="s">
        <v>27</v>
      </c>
      <c r="K44" s="4" t="s">
        <v>28</v>
      </c>
      <c r="L44">
        <v>10</v>
      </c>
    </row>
    <row r="45" spans="1:12" x14ac:dyDescent="0.3">
      <c r="A45" s="4" t="s">
        <v>91</v>
      </c>
      <c r="B45" s="4" t="s">
        <v>30</v>
      </c>
      <c r="C45" s="4">
        <v>36</v>
      </c>
      <c r="D45" s="4" t="s">
        <v>20</v>
      </c>
      <c r="E45" s="4" t="s">
        <v>41</v>
      </c>
      <c r="F45" s="4" t="s">
        <v>42</v>
      </c>
      <c r="G45" s="5">
        <v>46114</v>
      </c>
      <c r="H45" s="5">
        <v>46119</v>
      </c>
      <c r="I45" s="4">
        <v>91385</v>
      </c>
      <c r="J45" s="4" t="s">
        <v>16</v>
      </c>
      <c r="K45" s="4" t="s">
        <v>28</v>
      </c>
      <c r="L45">
        <v>5</v>
      </c>
    </row>
    <row r="46" spans="1:12" x14ac:dyDescent="0.3">
      <c r="A46" s="4" t="s">
        <v>92</v>
      </c>
      <c r="B46" s="4" t="s">
        <v>47</v>
      </c>
      <c r="C46" s="4">
        <v>27</v>
      </c>
      <c r="D46" s="4" t="s">
        <v>13</v>
      </c>
      <c r="E46" s="4" t="s">
        <v>21</v>
      </c>
      <c r="F46" s="4" t="s">
        <v>22</v>
      </c>
      <c r="G46" s="5">
        <v>46064</v>
      </c>
      <c r="H46" s="5">
        <v>46078</v>
      </c>
      <c r="I46" s="4">
        <v>41509</v>
      </c>
      <c r="J46" s="4" t="s">
        <v>27</v>
      </c>
      <c r="K46" s="4" t="s">
        <v>28</v>
      </c>
      <c r="L46">
        <v>14</v>
      </c>
    </row>
    <row r="47" spans="1:12" x14ac:dyDescent="0.3">
      <c r="A47" s="4" t="s">
        <v>93</v>
      </c>
      <c r="B47" s="4" t="s">
        <v>50</v>
      </c>
      <c r="C47" s="4">
        <v>18</v>
      </c>
      <c r="D47" s="4" t="s">
        <v>13</v>
      </c>
      <c r="E47" s="4" t="s">
        <v>21</v>
      </c>
      <c r="F47" s="4" t="s">
        <v>22</v>
      </c>
      <c r="G47" s="5">
        <v>46091</v>
      </c>
      <c r="H47" s="5">
        <v>46095</v>
      </c>
      <c r="I47" s="4">
        <v>79694</v>
      </c>
      <c r="J47" s="4" t="s">
        <v>16</v>
      </c>
      <c r="K47" s="4" t="s">
        <v>48</v>
      </c>
      <c r="L47">
        <v>4</v>
      </c>
    </row>
    <row r="48" spans="1:12" x14ac:dyDescent="0.3">
      <c r="A48" s="4" t="s">
        <v>94</v>
      </c>
      <c r="B48" s="4" t="s">
        <v>19</v>
      </c>
      <c r="C48" s="4">
        <v>34</v>
      </c>
      <c r="D48" s="4" t="s">
        <v>20</v>
      </c>
      <c r="E48" s="4" t="s">
        <v>21</v>
      </c>
      <c r="F48" s="4" t="s">
        <v>22</v>
      </c>
      <c r="G48" s="5">
        <v>46112</v>
      </c>
      <c r="H48" s="5">
        <v>46118</v>
      </c>
      <c r="I48" s="4">
        <v>104511</v>
      </c>
      <c r="J48" s="4" t="s">
        <v>27</v>
      </c>
      <c r="K48" s="4" t="s">
        <v>28</v>
      </c>
      <c r="L48">
        <v>6</v>
      </c>
    </row>
    <row r="49" spans="1:12" x14ac:dyDescent="0.3">
      <c r="A49" s="4" t="s">
        <v>95</v>
      </c>
      <c r="B49" s="4" t="s">
        <v>34</v>
      </c>
      <c r="C49" s="4">
        <v>40</v>
      </c>
      <c r="D49" s="4" t="s">
        <v>13</v>
      </c>
      <c r="E49" s="4" t="s">
        <v>25</v>
      </c>
      <c r="F49" s="4" t="s">
        <v>26</v>
      </c>
      <c r="G49" s="5">
        <v>46094</v>
      </c>
      <c r="H49" s="5">
        <v>46097</v>
      </c>
      <c r="I49" s="4">
        <v>84768</v>
      </c>
      <c r="J49" s="4" t="s">
        <v>27</v>
      </c>
      <c r="K49" s="4" t="s">
        <v>28</v>
      </c>
      <c r="L49">
        <v>3</v>
      </c>
    </row>
    <row r="50" spans="1:12" x14ac:dyDescent="0.3">
      <c r="A50" s="4" t="s">
        <v>96</v>
      </c>
      <c r="B50" s="4" t="s">
        <v>54</v>
      </c>
      <c r="C50" s="4">
        <v>27</v>
      </c>
      <c r="D50" s="4" t="s">
        <v>13</v>
      </c>
      <c r="E50" s="4" t="s">
        <v>21</v>
      </c>
      <c r="F50" s="4" t="s">
        <v>22</v>
      </c>
      <c r="G50" s="5">
        <v>46052</v>
      </c>
      <c r="H50" s="5">
        <v>46058</v>
      </c>
      <c r="I50" s="4">
        <v>32208</v>
      </c>
      <c r="J50" s="4" t="s">
        <v>27</v>
      </c>
      <c r="K50" s="4" t="s">
        <v>28</v>
      </c>
      <c r="L50">
        <v>6</v>
      </c>
    </row>
    <row r="51" spans="1:12" x14ac:dyDescent="0.3">
      <c r="A51" s="4" t="s">
        <v>97</v>
      </c>
      <c r="B51" s="4" t="s">
        <v>19</v>
      </c>
      <c r="C51" s="4">
        <v>70</v>
      </c>
      <c r="D51" s="4" t="s">
        <v>20</v>
      </c>
      <c r="E51" s="4" t="s">
        <v>58</v>
      </c>
      <c r="F51" s="4" t="s">
        <v>59</v>
      </c>
      <c r="G51" s="5">
        <v>46103</v>
      </c>
      <c r="H51" s="5">
        <v>46111</v>
      </c>
      <c r="I51" s="4">
        <v>93574</v>
      </c>
      <c r="J51" s="4" t="s">
        <v>27</v>
      </c>
      <c r="K51" s="4" t="s">
        <v>28</v>
      </c>
      <c r="L51">
        <v>8</v>
      </c>
    </row>
    <row r="53" spans="1:12" x14ac:dyDescent="0.3">
      <c r="A53" s="9"/>
      <c r="B53" s="9"/>
    </row>
    <row r="65" spans="1:1" x14ac:dyDescent="0.3">
      <c r="A65" s="9"/>
    </row>
    <row r="66" spans="1:1" x14ac:dyDescent="0.3">
      <c r="A66" s="9"/>
    </row>
    <row r="117" spans="1:3" x14ac:dyDescent="0.3">
      <c r="A117" s="9"/>
    </row>
    <row r="120" spans="1:3" x14ac:dyDescent="0.3">
      <c r="A120" s="9"/>
      <c r="B120" s="9"/>
      <c r="C120" s="9"/>
    </row>
    <row r="121" spans="1:3" x14ac:dyDescent="0.3">
      <c r="A121" s="9"/>
      <c r="B121" s="9"/>
      <c r="C121" s="9"/>
    </row>
    <row r="122" spans="1:3" x14ac:dyDescent="0.3">
      <c r="A122" s="9"/>
      <c r="B122" s="9"/>
      <c r="C122" s="9"/>
    </row>
    <row r="124" spans="1:3" x14ac:dyDescent="0.3">
      <c r="A124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25BE-4667-4310-AC0B-08FE5C4E8489}">
  <dimension ref="A1:B1"/>
  <sheetViews>
    <sheetView topLeftCell="A2" workbookViewId="0">
      <selection activeCell="D13" sqref="D13"/>
    </sheetView>
  </sheetViews>
  <sheetFormatPr defaultRowHeight="14.4" x14ac:dyDescent="0.3"/>
  <sheetData>
    <row r="1" spans="1:2" ht="21" x14ac:dyDescent="0.4">
      <c r="A1" s="12" t="s">
        <v>112</v>
      </c>
      <c r="B1" s="12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F5E9F-8B8E-4207-B1B0-336EF5B44411}">
  <dimension ref="A1"/>
  <sheetViews>
    <sheetView workbookViewId="0">
      <selection activeCell="J14" sqref="J14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Sheet2</vt:lpstr>
      <vt:lpstr>Sheet3</vt:lpstr>
      <vt:lpstr>Sheet5</vt:lpstr>
      <vt:lpstr>Sheet6</vt:lpstr>
      <vt:lpstr>Sheet8</vt:lpstr>
      <vt:lpstr>Sheet9</vt:lpstr>
      <vt:lpstr>Sheet1</vt:lpstr>
      <vt:lpstr>Sheet7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kamble</dc:creator>
  <cp:lastModifiedBy>sakshi kamble</cp:lastModifiedBy>
  <dcterms:created xsi:type="dcterms:W3CDTF">2026-09-10T05:13:48Z</dcterms:created>
  <dcterms:modified xsi:type="dcterms:W3CDTF">2026-09-10T06:48:44Z</dcterms:modified>
</cp:coreProperties>
</file>